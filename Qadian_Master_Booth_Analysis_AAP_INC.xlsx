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RAJA-SANSI\"/>
    </mc:Choice>
  </mc:AlternateContent>
  <xr:revisionPtr revIDLastSave="0" documentId="13_ncr:1_{F103B05B-F8E0-4EA0-9942-95C201646E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AP Master Analysis" sheetId="1" r:id="rId1"/>
    <sheet name="INC Master Analysis" sheetId="2" r:id="rId2"/>
    <sheet name="AAP Strategy &amp; Booth Clusters" sheetId="3" r:id="rId3"/>
  </sheets>
  <definedNames>
    <definedName name="_xlnm.Print_Titles" localSheetId="0">'AAP Master Analysis'!$1:$1</definedName>
    <definedName name="_xlnm.Print_Titles" localSheetId="2">'AAP Strategy &amp; Booth Clusters'!$1:$1</definedName>
    <definedName name="_xlnm.Print_Titles" localSheetId="1">'INC Master Analysis'!$1:$1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25" i="2" l="1"/>
  <c r="M225" i="2"/>
  <c r="H225" i="2"/>
  <c r="K225" i="2" s="1"/>
  <c r="E225" i="2"/>
  <c r="F225" i="2" s="1"/>
  <c r="I224" i="2"/>
  <c r="F224" i="2"/>
  <c r="I223" i="2"/>
  <c r="F223" i="2"/>
  <c r="I222" i="2"/>
  <c r="L222" i="2" s="1"/>
  <c r="F222" i="2"/>
  <c r="I221" i="2"/>
  <c r="L221" i="2" s="1"/>
  <c r="F221" i="2"/>
  <c r="I220" i="2"/>
  <c r="F220" i="2"/>
  <c r="L219" i="2"/>
  <c r="I219" i="2"/>
  <c r="F219" i="2"/>
  <c r="I218" i="2"/>
  <c r="F218" i="2"/>
  <c r="L218" i="2" s="1"/>
  <c r="I217" i="2"/>
  <c r="F217" i="2"/>
  <c r="L217" i="2" s="1"/>
  <c r="I216" i="2"/>
  <c r="L216" i="2" s="1"/>
  <c r="F216" i="2"/>
  <c r="I215" i="2"/>
  <c r="F215" i="2"/>
  <c r="I214" i="2"/>
  <c r="F214" i="2"/>
  <c r="I213" i="2"/>
  <c r="L213" i="2" s="1"/>
  <c r="F213" i="2"/>
  <c r="I212" i="2"/>
  <c r="F212" i="2"/>
  <c r="I211" i="2"/>
  <c r="F211" i="2"/>
  <c r="L211" i="2" s="1"/>
  <c r="I210" i="2"/>
  <c r="L210" i="2" s="1"/>
  <c r="F210" i="2"/>
  <c r="I209" i="2"/>
  <c r="F209" i="2"/>
  <c r="L209" i="2" s="1"/>
  <c r="I208" i="2"/>
  <c r="L208" i="2" s="1"/>
  <c r="F208" i="2"/>
  <c r="I207" i="2"/>
  <c r="F207" i="2"/>
  <c r="I206" i="2"/>
  <c r="F206" i="2"/>
  <c r="I205" i="2"/>
  <c r="L205" i="2" s="1"/>
  <c r="F205" i="2"/>
  <c r="I204" i="2"/>
  <c r="F204" i="2"/>
  <c r="I203" i="2"/>
  <c r="L203" i="2" s="1"/>
  <c r="F203" i="2"/>
  <c r="I202" i="2"/>
  <c r="L202" i="2" s="1"/>
  <c r="F202" i="2"/>
  <c r="I201" i="2"/>
  <c r="F201" i="2"/>
  <c r="L201" i="2" s="1"/>
  <c r="I200" i="2"/>
  <c r="F200" i="2"/>
  <c r="I199" i="2"/>
  <c r="L199" i="2" s="1"/>
  <c r="F199" i="2"/>
  <c r="I198" i="2"/>
  <c r="F198" i="2"/>
  <c r="I197" i="2"/>
  <c r="L197" i="2" s="1"/>
  <c r="F197" i="2"/>
  <c r="I196" i="2"/>
  <c r="F196" i="2"/>
  <c r="I195" i="2"/>
  <c r="L195" i="2" s="1"/>
  <c r="F195" i="2"/>
  <c r="I194" i="2"/>
  <c r="L194" i="2" s="1"/>
  <c r="F194" i="2"/>
  <c r="I193" i="2"/>
  <c r="F193" i="2"/>
  <c r="L193" i="2" s="1"/>
  <c r="I192" i="2"/>
  <c r="F192" i="2"/>
  <c r="I191" i="2"/>
  <c r="F191" i="2"/>
  <c r="I190" i="2"/>
  <c r="F190" i="2"/>
  <c r="I189" i="2"/>
  <c r="L189" i="2" s="1"/>
  <c r="F189" i="2"/>
  <c r="I188" i="2"/>
  <c r="L188" i="2" s="1"/>
  <c r="F188" i="2"/>
  <c r="I187" i="2"/>
  <c r="L187" i="2" s="1"/>
  <c r="F187" i="2"/>
  <c r="I186" i="2"/>
  <c r="L186" i="2" s="1"/>
  <c r="F186" i="2"/>
  <c r="I185" i="2"/>
  <c r="F185" i="2"/>
  <c r="I184" i="2"/>
  <c r="F184" i="2"/>
  <c r="I183" i="2"/>
  <c r="F183" i="2"/>
  <c r="L183" i="2" s="1"/>
  <c r="I182" i="2"/>
  <c r="L182" i="2" s="1"/>
  <c r="F182" i="2"/>
  <c r="L181" i="2"/>
  <c r="I181" i="2"/>
  <c r="F181" i="2"/>
  <c r="I180" i="2"/>
  <c r="F180" i="2"/>
  <c r="I179" i="2"/>
  <c r="L179" i="2" s="1"/>
  <c r="F179" i="2"/>
  <c r="L178" i="2"/>
  <c r="I178" i="2"/>
  <c r="F178" i="2"/>
  <c r="I177" i="2"/>
  <c r="F177" i="2"/>
  <c r="L177" i="2" s="1"/>
  <c r="I176" i="2"/>
  <c r="L176" i="2" s="1"/>
  <c r="F176" i="2"/>
  <c r="I175" i="2"/>
  <c r="F175" i="2"/>
  <c r="L175" i="2" s="1"/>
  <c r="I174" i="2"/>
  <c r="L174" i="2" s="1"/>
  <c r="F174" i="2"/>
  <c r="I173" i="2"/>
  <c r="L173" i="2" s="1"/>
  <c r="F173" i="2"/>
  <c r="I172" i="2"/>
  <c r="L172" i="2" s="1"/>
  <c r="F172" i="2"/>
  <c r="L171" i="2"/>
  <c r="I171" i="2"/>
  <c r="F171" i="2"/>
  <c r="I170" i="2"/>
  <c r="L170" i="2" s="1"/>
  <c r="F170" i="2"/>
  <c r="I169" i="2"/>
  <c r="F169" i="2"/>
  <c r="I168" i="2"/>
  <c r="L168" i="2" s="1"/>
  <c r="F168" i="2"/>
  <c r="I167" i="2"/>
  <c r="F167" i="2"/>
  <c r="L167" i="2" s="1"/>
  <c r="I166" i="2"/>
  <c r="F166" i="2"/>
  <c r="L165" i="2"/>
  <c r="I165" i="2"/>
  <c r="F165" i="2"/>
  <c r="I164" i="2"/>
  <c r="L164" i="2" s="1"/>
  <c r="F164" i="2"/>
  <c r="I163" i="2"/>
  <c r="L163" i="2" s="1"/>
  <c r="F163" i="2"/>
  <c r="L162" i="2"/>
  <c r="I162" i="2"/>
  <c r="F162" i="2"/>
  <c r="I161" i="2"/>
  <c r="F161" i="2"/>
  <c r="I160" i="2"/>
  <c r="F160" i="2"/>
  <c r="I159" i="2"/>
  <c r="F159" i="2"/>
  <c r="L159" i="2" s="1"/>
  <c r="I158" i="2"/>
  <c r="F158" i="2"/>
  <c r="I157" i="2"/>
  <c r="F157" i="2"/>
  <c r="L157" i="2" s="1"/>
  <c r="I156" i="2"/>
  <c r="F156" i="2"/>
  <c r="L155" i="2"/>
  <c r="I155" i="2"/>
  <c r="F155" i="2"/>
  <c r="I154" i="2"/>
  <c r="F154" i="2"/>
  <c r="L154" i="2" s="1"/>
  <c r="I153" i="2"/>
  <c r="F153" i="2"/>
  <c r="L153" i="2" s="1"/>
  <c r="I152" i="2"/>
  <c r="L152" i="2" s="1"/>
  <c r="F152" i="2"/>
  <c r="I151" i="2"/>
  <c r="F151" i="2"/>
  <c r="L151" i="2" s="1"/>
  <c r="I150" i="2"/>
  <c r="F150" i="2"/>
  <c r="I149" i="2"/>
  <c r="L149" i="2" s="1"/>
  <c r="F149" i="2"/>
  <c r="I148" i="2"/>
  <c r="F148" i="2"/>
  <c r="I147" i="2"/>
  <c r="F147" i="2"/>
  <c r="L147" i="2" s="1"/>
  <c r="I146" i="2"/>
  <c r="L146" i="2" s="1"/>
  <c r="F146" i="2"/>
  <c r="I145" i="2"/>
  <c r="F145" i="2"/>
  <c r="L145" i="2" s="1"/>
  <c r="I144" i="2"/>
  <c r="L144" i="2" s="1"/>
  <c r="F144" i="2"/>
  <c r="I143" i="2"/>
  <c r="F143" i="2"/>
  <c r="I142" i="2"/>
  <c r="F142" i="2"/>
  <c r="I141" i="2"/>
  <c r="L141" i="2" s="1"/>
  <c r="F141" i="2"/>
  <c r="I140" i="2"/>
  <c r="F140" i="2"/>
  <c r="I139" i="2"/>
  <c r="L139" i="2" s="1"/>
  <c r="F139" i="2"/>
  <c r="I138" i="2"/>
  <c r="L138" i="2" s="1"/>
  <c r="F138" i="2"/>
  <c r="I137" i="2"/>
  <c r="F137" i="2"/>
  <c r="L137" i="2" s="1"/>
  <c r="I136" i="2"/>
  <c r="F136" i="2"/>
  <c r="I135" i="2"/>
  <c r="F135" i="2"/>
  <c r="I134" i="2"/>
  <c r="F134" i="2"/>
  <c r="I133" i="2"/>
  <c r="L133" i="2" s="1"/>
  <c r="F133" i="2"/>
  <c r="I132" i="2"/>
  <c r="F132" i="2"/>
  <c r="I131" i="2"/>
  <c r="L131" i="2" s="1"/>
  <c r="F131" i="2"/>
  <c r="I130" i="2"/>
  <c r="L130" i="2" s="1"/>
  <c r="F130" i="2"/>
  <c r="I129" i="2"/>
  <c r="F129" i="2"/>
  <c r="L129" i="2" s="1"/>
  <c r="I128" i="2"/>
  <c r="F128" i="2"/>
  <c r="I127" i="2"/>
  <c r="F127" i="2"/>
  <c r="I126" i="2"/>
  <c r="F126" i="2"/>
  <c r="I125" i="2"/>
  <c r="L125" i="2" s="1"/>
  <c r="F125" i="2"/>
  <c r="I124" i="2"/>
  <c r="F124" i="2"/>
  <c r="I123" i="2"/>
  <c r="L123" i="2" s="1"/>
  <c r="F123" i="2"/>
  <c r="I122" i="2"/>
  <c r="L122" i="2" s="1"/>
  <c r="F122" i="2"/>
  <c r="I121" i="2"/>
  <c r="F121" i="2"/>
  <c r="L121" i="2" s="1"/>
  <c r="I120" i="2"/>
  <c r="F120" i="2"/>
  <c r="I119" i="2"/>
  <c r="F119" i="2"/>
  <c r="L119" i="2" s="1"/>
  <c r="I118" i="2"/>
  <c r="L118" i="2" s="1"/>
  <c r="F118" i="2"/>
  <c r="I117" i="2"/>
  <c r="L117" i="2" s="1"/>
  <c r="F117" i="2"/>
  <c r="I116" i="2"/>
  <c r="F116" i="2"/>
  <c r="I115" i="2"/>
  <c r="L115" i="2" s="1"/>
  <c r="F115" i="2"/>
  <c r="I114" i="2"/>
  <c r="L114" i="2" s="1"/>
  <c r="F114" i="2"/>
  <c r="I113" i="2"/>
  <c r="F113" i="2"/>
  <c r="L113" i="2" s="1"/>
  <c r="I112" i="2"/>
  <c r="L112" i="2" s="1"/>
  <c r="F112" i="2"/>
  <c r="I111" i="2"/>
  <c r="F111" i="2"/>
  <c r="L111" i="2" s="1"/>
  <c r="I110" i="2"/>
  <c r="L110" i="2" s="1"/>
  <c r="F110" i="2"/>
  <c r="I109" i="2"/>
  <c r="L109" i="2" s="1"/>
  <c r="F109" i="2"/>
  <c r="I108" i="2"/>
  <c r="L108" i="2" s="1"/>
  <c r="F108" i="2"/>
  <c r="I107" i="2"/>
  <c r="L107" i="2" s="1"/>
  <c r="F107" i="2"/>
  <c r="F106" i="2"/>
  <c r="L106" i="2" s="1"/>
  <c r="I105" i="2"/>
  <c r="L105" i="2" s="1"/>
  <c r="F105" i="2"/>
  <c r="I104" i="2"/>
  <c r="L104" i="2" s="1"/>
  <c r="F104" i="2"/>
  <c r="I103" i="2"/>
  <c r="L103" i="2" s="1"/>
  <c r="F103" i="2"/>
  <c r="I102" i="2"/>
  <c r="F102" i="2"/>
  <c r="I101" i="2"/>
  <c r="F101" i="2"/>
  <c r="I100" i="2"/>
  <c r="F100" i="2"/>
  <c r="I99" i="2"/>
  <c r="F99" i="2"/>
  <c r="I98" i="2"/>
  <c r="L98" i="2" s="1"/>
  <c r="F98" i="2"/>
  <c r="I97" i="2"/>
  <c r="F97" i="2"/>
  <c r="I96" i="2"/>
  <c r="L96" i="2" s="1"/>
  <c r="F96" i="2"/>
  <c r="I95" i="2"/>
  <c r="L95" i="2" s="1"/>
  <c r="F95" i="2"/>
  <c r="I94" i="2"/>
  <c r="F94" i="2"/>
  <c r="L94" i="2" s="1"/>
  <c r="I93" i="2"/>
  <c r="F93" i="2"/>
  <c r="I92" i="2"/>
  <c r="F92" i="2"/>
  <c r="L92" i="2" s="1"/>
  <c r="I91" i="2"/>
  <c r="L91" i="2" s="1"/>
  <c r="F91" i="2"/>
  <c r="I90" i="2"/>
  <c r="L90" i="2" s="1"/>
  <c r="F90" i="2"/>
  <c r="I89" i="2"/>
  <c r="F89" i="2"/>
  <c r="I88" i="2"/>
  <c r="L88" i="2" s="1"/>
  <c r="F88" i="2"/>
  <c r="I87" i="2"/>
  <c r="L87" i="2" s="1"/>
  <c r="F87" i="2"/>
  <c r="I86" i="2"/>
  <c r="F86" i="2"/>
  <c r="L86" i="2" s="1"/>
  <c r="I85" i="2"/>
  <c r="L85" i="2" s="1"/>
  <c r="F85" i="2"/>
  <c r="I84" i="2"/>
  <c r="F84" i="2"/>
  <c r="L84" i="2" s="1"/>
  <c r="I83" i="2"/>
  <c r="L83" i="2" s="1"/>
  <c r="F83" i="2"/>
  <c r="I82" i="2"/>
  <c r="L82" i="2" s="1"/>
  <c r="F82" i="2"/>
  <c r="I81" i="2"/>
  <c r="L81" i="2" s="1"/>
  <c r="F81" i="2"/>
  <c r="I80" i="2"/>
  <c r="L80" i="2" s="1"/>
  <c r="F80" i="2"/>
  <c r="I79" i="2"/>
  <c r="L79" i="2" s="1"/>
  <c r="F79" i="2"/>
  <c r="I78" i="2"/>
  <c r="F78" i="2"/>
  <c r="I77" i="2"/>
  <c r="F77" i="2"/>
  <c r="I76" i="2"/>
  <c r="F76" i="2"/>
  <c r="L76" i="2" s="1"/>
  <c r="I75" i="2"/>
  <c r="F75" i="2"/>
  <c r="L74" i="2"/>
  <c r="I74" i="2"/>
  <c r="F74" i="2"/>
  <c r="I73" i="2"/>
  <c r="L73" i="2" s="1"/>
  <c r="F73" i="2"/>
  <c r="I72" i="2"/>
  <c r="L72" i="2" s="1"/>
  <c r="F72" i="2"/>
  <c r="L71" i="2"/>
  <c r="I71" i="2"/>
  <c r="F71" i="2"/>
  <c r="I70" i="2"/>
  <c r="F70" i="2"/>
  <c r="I69" i="2"/>
  <c r="F69" i="2"/>
  <c r="I68" i="2"/>
  <c r="F68" i="2"/>
  <c r="L68" i="2" s="1"/>
  <c r="I67" i="2"/>
  <c r="F67" i="2"/>
  <c r="I66" i="2"/>
  <c r="F66" i="2"/>
  <c r="L66" i="2" s="1"/>
  <c r="I65" i="2"/>
  <c r="F65" i="2"/>
  <c r="L64" i="2"/>
  <c r="I64" i="2"/>
  <c r="F64" i="2"/>
  <c r="I63" i="2"/>
  <c r="F63" i="2"/>
  <c r="L63" i="2" s="1"/>
  <c r="I62" i="2"/>
  <c r="F62" i="2"/>
  <c r="L62" i="2" s="1"/>
  <c r="I61" i="2"/>
  <c r="L61" i="2" s="1"/>
  <c r="F61" i="2"/>
  <c r="I60" i="2"/>
  <c r="F60" i="2"/>
  <c r="L60" i="2" s="1"/>
  <c r="I59" i="2"/>
  <c r="F59" i="2"/>
  <c r="I58" i="2"/>
  <c r="L58" i="2" s="1"/>
  <c r="F58" i="2"/>
  <c r="I57" i="2"/>
  <c r="F57" i="2"/>
  <c r="L56" i="2"/>
  <c r="I56" i="2"/>
  <c r="F56" i="2"/>
  <c r="I55" i="2"/>
  <c r="L55" i="2" s="1"/>
  <c r="F55" i="2"/>
  <c r="I54" i="2"/>
  <c r="F54" i="2"/>
  <c r="L54" i="2" s="1"/>
  <c r="I53" i="2"/>
  <c r="L53" i="2" s="1"/>
  <c r="F53" i="2"/>
  <c r="I52" i="2"/>
  <c r="F52" i="2"/>
  <c r="L52" i="2" s="1"/>
  <c r="I51" i="2"/>
  <c r="F51" i="2"/>
  <c r="I50" i="2"/>
  <c r="L50" i="2" s="1"/>
  <c r="F50" i="2"/>
  <c r="I49" i="2"/>
  <c r="F49" i="2"/>
  <c r="I48" i="2"/>
  <c r="L48" i="2" s="1"/>
  <c r="F48" i="2"/>
  <c r="I47" i="2"/>
  <c r="L47" i="2" s="1"/>
  <c r="F47" i="2"/>
  <c r="I46" i="2"/>
  <c r="F46" i="2"/>
  <c r="L46" i="2" s="1"/>
  <c r="I45" i="2"/>
  <c r="F45" i="2"/>
  <c r="I44" i="2"/>
  <c r="L44" i="2" s="1"/>
  <c r="F44" i="2"/>
  <c r="I43" i="2"/>
  <c r="F43" i="2"/>
  <c r="I42" i="2"/>
  <c r="L42" i="2" s="1"/>
  <c r="F42" i="2"/>
  <c r="I41" i="2"/>
  <c r="F41" i="2"/>
  <c r="I40" i="2"/>
  <c r="L40" i="2" s="1"/>
  <c r="F40" i="2"/>
  <c r="I39" i="2"/>
  <c r="L39" i="2" s="1"/>
  <c r="F39" i="2"/>
  <c r="I38" i="2"/>
  <c r="F38" i="2"/>
  <c r="L38" i="2" s="1"/>
  <c r="I37" i="2"/>
  <c r="F37" i="2"/>
  <c r="I36" i="2"/>
  <c r="L36" i="2" s="1"/>
  <c r="F36" i="2"/>
  <c r="I35" i="2"/>
  <c r="F35" i="2"/>
  <c r="I34" i="2"/>
  <c r="L34" i="2" s="1"/>
  <c r="F34" i="2"/>
  <c r="I33" i="2"/>
  <c r="F33" i="2"/>
  <c r="I32" i="2"/>
  <c r="L32" i="2" s="1"/>
  <c r="F32" i="2"/>
  <c r="I31" i="2"/>
  <c r="L31" i="2" s="1"/>
  <c r="F31" i="2"/>
  <c r="I30" i="2"/>
  <c r="F30" i="2"/>
  <c r="L30" i="2" s="1"/>
  <c r="I29" i="2"/>
  <c r="F29" i="2"/>
  <c r="I28" i="2"/>
  <c r="F28" i="2"/>
  <c r="L28" i="2" s="1"/>
  <c r="I27" i="2"/>
  <c r="L27" i="2" s="1"/>
  <c r="F27" i="2"/>
  <c r="I26" i="2"/>
  <c r="L26" i="2" s="1"/>
  <c r="F26" i="2"/>
  <c r="I25" i="2"/>
  <c r="F25" i="2"/>
  <c r="I24" i="2"/>
  <c r="L24" i="2" s="1"/>
  <c r="F24" i="2"/>
  <c r="I23" i="2"/>
  <c r="L23" i="2" s="1"/>
  <c r="F23" i="2"/>
  <c r="I22" i="2"/>
  <c r="F22" i="2"/>
  <c r="L22" i="2" s="1"/>
  <c r="I21" i="2"/>
  <c r="F21" i="2"/>
  <c r="I20" i="2"/>
  <c r="F20" i="2"/>
  <c r="L20" i="2" s="1"/>
  <c r="I19" i="2"/>
  <c r="L19" i="2" s="1"/>
  <c r="F19" i="2"/>
  <c r="I18" i="2"/>
  <c r="L18" i="2" s="1"/>
  <c r="F18" i="2"/>
  <c r="I17" i="2"/>
  <c r="L17" i="2" s="1"/>
  <c r="F17" i="2"/>
  <c r="I16" i="2"/>
  <c r="L16" i="2" s="1"/>
  <c r="F16" i="2"/>
  <c r="I15" i="2"/>
  <c r="L15" i="2" s="1"/>
  <c r="F15" i="2"/>
  <c r="I14" i="2"/>
  <c r="F14" i="2"/>
  <c r="I13" i="2"/>
  <c r="F13" i="2"/>
  <c r="I12" i="2"/>
  <c r="F12" i="2"/>
  <c r="I11" i="2"/>
  <c r="F11" i="2"/>
  <c r="L10" i="2"/>
  <c r="I10" i="2"/>
  <c r="F10" i="2"/>
  <c r="I9" i="2"/>
  <c r="L9" i="2" s="1"/>
  <c r="F9" i="2"/>
  <c r="I8" i="2"/>
  <c r="L8" i="2" s="1"/>
  <c r="F8" i="2"/>
  <c r="L7" i="2"/>
  <c r="I7" i="2"/>
  <c r="F7" i="2"/>
  <c r="I6" i="2"/>
  <c r="F6" i="2"/>
  <c r="I5" i="2"/>
  <c r="F5" i="2"/>
  <c r="I4" i="2"/>
  <c r="F4" i="2"/>
  <c r="I3" i="2"/>
  <c r="F3" i="2"/>
  <c r="L2" i="2"/>
  <c r="I2" i="2"/>
  <c r="F2" i="2"/>
  <c r="N225" i="1"/>
  <c r="M225" i="1"/>
  <c r="K225" i="1"/>
  <c r="H225" i="1"/>
  <c r="I225" i="1" s="1"/>
  <c r="E225" i="1"/>
  <c r="F225" i="1" s="1"/>
  <c r="I224" i="1"/>
  <c r="L224" i="1" s="1"/>
  <c r="F224" i="1"/>
  <c r="I223" i="1"/>
  <c r="L223" i="1" s="1"/>
  <c r="F223" i="1"/>
  <c r="I222" i="1"/>
  <c r="L222" i="1" s="1"/>
  <c r="F222" i="1"/>
  <c r="I221" i="1"/>
  <c r="F221" i="1"/>
  <c r="I220" i="1"/>
  <c r="F220" i="1"/>
  <c r="I219" i="1"/>
  <c r="F219" i="1"/>
  <c r="I218" i="1"/>
  <c r="L218" i="1" s="1"/>
  <c r="F218" i="1"/>
  <c r="L217" i="1"/>
  <c r="I217" i="1"/>
  <c r="F217" i="1"/>
  <c r="I216" i="1"/>
  <c r="F216" i="1"/>
  <c r="L215" i="1"/>
  <c r="I215" i="1"/>
  <c r="F215" i="1"/>
  <c r="I214" i="1"/>
  <c r="L214" i="1" s="1"/>
  <c r="F214" i="1"/>
  <c r="I213" i="1"/>
  <c r="F213" i="1"/>
  <c r="L213" i="1" s="1"/>
  <c r="I212" i="1"/>
  <c r="F212" i="1"/>
  <c r="I211" i="1"/>
  <c r="L211" i="1" s="1"/>
  <c r="F211" i="1"/>
  <c r="I210" i="1"/>
  <c r="L210" i="1" s="1"/>
  <c r="F210" i="1"/>
  <c r="I209" i="1"/>
  <c r="L209" i="1" s="1"/>
  <c r="F209" i="1"/>
  <c r="I208" i="1"/>
  <c r="L208" i="1" s="1"/>
  <c r="F208" i="1"/>
  <c r="I207" i="1"/>
  <c r="L207" i="1" s="1"/>
  <c r="F207" i="1"/>
  <c r="I206" i="1"/>
  <c r="F206" i="1"/>
  <c r="I205" i="1"/>
  <c r="F205" i="1"/>
  <c r="L205" i="1" s="1"/>
  <c r="I204" i="1"/>
  <c r="L204" i="1" s="1"/>
  <c r="F204" i="1"/>
  <c r="I203" i="1"/>
  <c r="L203" i="1" s="1"/>
  <c r="F203" i="1"/>
  <c r="I202" i="1"/>
  <c r="F202" i="1"/>
  <c r="I201" i="1"/>
  <c r="L201" i="1" s="1"/>
  <c r="F201" i="1"/>
  <c r="I200" i="1"/>
  <c r="F200" i="1"/>
  <c r="L199" i="1"/>
  <c r="I199" i="1"/>
  <c r="F199" i="1"/>
  <c r="I198" i="1"/>
  <c r="F198" i="1"/>
  <c r="I197" i="1"/>
  <c r="F197" i="1"/>
  <c r="I196" i="1"/>
  <c r="L196" i="1" s="1"/>
  <c r="F196" i="1"/>
  <c r="I195" i="1"/>
  <c r="F195" i="1"/>
  <c r="I194" i="1"/>
  <c r="F194" i="1"/>
  <c r="L193" i="1"/>
  <c r="I193" i="1"/>
  <c r="F193" i="1"/>
  <c r="I192" i="1"/>
  <c r="L192" i="1" s="1"/>
  <c r="F192" i="1"/>
  <c r="I191" i="1"/>
  <c r="L191" i="1" s="1"/>
  <c r="F191" i="1"/>
  <c r="I190" i="1"/>
  <c r="L190" i="1" s="1"/>
  <c r="F190" i="1"/>
  <c r="I189" i="1"/>
  <c r="F189" i="1"/>
  <c r="I188" i="1"/>
  <c r="F188" i="1"/>
  <c r="I187" i="1"/>
  <c r="F187" i="1"/>
  <c r="I186" i="1"/>
  <c r="L186" i="1" s="1"/>
  <c r="F186" i="1"/>
  <c r="L185" i="1"/>
  <c r="I185" i="1"/>
  <c r="F185" i="1"/>
  <c r="I184" i="1"/>
  <c r="F184" i="1"/>
  <c r="L183" i="1"/>
  <c r="I183" i="1"/>
  <c r="F183" i="1"/>
  <c r="I182" i="1"/>
  <c r="L182" i="1" s="1"/>
  <c r="F182" i="1"/>
  <c r="I181" i="1"/>
  <c r="F181" i="1"/>
  <c r="L181" i="1" s="1"/>
  <c r="I180" i="1"/>
  <c r="F180" i="1"/>
  <c r="I179" i="1"/>
  <c r="L179" i="1" s="1"/>
  <c r="F179" i="1"/>
  <c r="I178" i="1"/>
  <c r="L178" i="1" s="1"/>
  <c r="F178" i="1"/>
  <c r="I177" i="1"/>
  <c r="L177" i="1" s="1"/>
  <c r="F177" i="1"/>
  <c r="I176" i="1"/>
  <c r="L176" i="1" s="1"/>
  <c r="F176" i="1"/>
  <c r="I175" i="1"/>
  <c r="L175" i="1" s="1"/>
  <c r="F175" i="1"/>
  <c r="I174" i="1"/>
  <c r="F174" i="1"/>
  <c r="I173" i="1"/>
  <c r="F173" i="1"/>
  <c r="L173" i="1" s="1"/>
  <c r="I172" i="1"/>
  <c r="L172" i="1" s="1"/>
  <c r="F172" i="1"/>
  <c r="I171" i="1"/>
  <c r="L171" i="1" s="1"/>
  <c r="F171" i="1"/>
  <c r="I170" i="1"/>
  <c r="F170" i="1"/>
  <c r="I169" i="1"/>
  <c r="L169" i="1" s="1"/>
  <c r="F169" i="1"/>
  <c r="I168" i="1"/>
  <c r="F168" i="1"/>
  <c r="L167" i="1"/>
  <c r="I167" i="1"/>
  <c r="F167" i="1"/>
  <c r="I166" i="1"/>
  <c r="F166" i="1"/>
  <c r="I165" i="1"/>
  <c r="F165" i="1"/>
  <c r="I164" i="1"/>
  <c r="L164" i="1" s="1"/>
  <c r="F164" i="1"/>
  <c r="I163" i="1"/>
  <c r="F163" i="1"/>
  <c r="L163" i="1" s="1"/>
  <c r="I162" i="1"/>
  <c r="F162" i="1"/>
  <c r="L161" i="1"/>
  <c r="I161" i="1"/>
  <c r="F161" i="1"/>
  <c r="I160" i="1"/>
  <c r="L160" i="1" s="1"/>
  <c r="F160" i="1"/>
  <c r="I159" i="1"/>
  <c r="L159" i="1" s="1"/>
  <c r="F159" i="1"/>
  <c r="I158" i="1"/>
  <c r="L158" i="1" s="1"/>
  <c r="F158" i="1"/>
  <c r="I157" i="1"/>
  <c r="F157" i="1"/>
  <c r="I156" i="1"/>
  <c r="F156" i="1"/>
  <c r="I155" i="1"/>
  <c r="F155" i="1"/>
  <c r="L155" i="1" s="1"/>
  <c r="I154" i="1"/>
  <c r="L154" i="1" s="1"/>
  <c r="F154" i="1"/>
  <c r="L153" i="1"/>
  <c r="I153" i="1"/>
  <c r="F153" i="1"/>
  <c r="I152" i="1"/>
  <c r="F152" i="1"/>
  <c r="I151" i="1"/>
  <c r="L151" i="1" s="1"/>
  <c r="F151" i="1"/>
  <c r="I150" i="1"/>
  <c r="L150" i="1" s="1"/>
  <c r="F150" i="1"/>
  <c r="I149" i="1"/>
  <c r="F149" i="1"/>
  <c r="L149" i="1" s="1"/>
  <c r="I148" i="1"/>
  <c r="F148" i="1"/>
  <c r="I147" i="1"/>
  <c r="F147" i="1"/>
  <c r="I146" i="1"/>
  <c r="L146" i="1" s="1"/>
  <c r="F146" i="1"/>
  <c r="I145" i="1"/>
  <c r="L145" i="1" s="1"/>
  <c r="F145" i="1"/>
  <c r="I144" i="1"/>
  <c r="F144" i="1"/>
  <c r="I143" i="1"/>
  <c r="L143" i="1" s="1"/>
  <c r="F143" i="1"/>
  <c r="I142" i="1"/>
  <c r="F142" i="1"/>
  <c r="I141" i="1"/>
  <c r="F141" i="1"/>
  <c r="L141" i="1" s="1"/>
  <c r="I140" i="1"/>
  <c r="L140" i="1" s="1"/>
  <c r="F140" i="1"/>
  <c r="I139" i="1"/>
  <c r="F139" i="1"/>
  <c r="I138" i="1"/>
  <c r="F138" i="1"/>
  <c r="I137" i="1"/>
  <c r="L137" i="1" s="1"/>
  <c r="F137" i="1"/>
  <c r="I136" i="1"/>
  <c r="F136" i="1"/>
  <c r="L135" i="1"/>
  <c r="I135" i="1"/>
  <c r="F135" i="1"/>
  <c r="I134" i="1"/>
  <c r="F134" i="1"/>
  <c r="I133" i="1"/>
  <c r="F133" i="1"/>
  <c r="I132" i="1"/>
  <c r="L132" i="1" s="1"/>
  <c r="F132" i="1"/>
  <c r="I131" i="1"/>
  <c r="F131" i="1"/>
  <c r="L131" i="1" s="1"/>
  <c r="I130" i="1"/>
  <c r="F130" i="1"/>
  <c r="L129" i="1"/>
  <c r="I129" i="1"/>
  <c r="F129" i="1"/>
  <c r="I128" i="1"/>
  <c r="L128" i="1" s="1"/>
  <c r="F128" i="1"/>
  <c r="I127" i="1"/>
  <c r="L127" i="1" s="1"/>
  <c r="F127" i="1"/>
  <c r="I126" i="1"/>
  <c r="L126" i="1" s="1"/>
  <c r="F126" i="1"/>
  <c r="I125" i="1"/>
  <c r="F125" i="1"/>
  <c r="I124" i="1"/>
  <c r="F124" i="1"/>
  <c r="I123" i="1"/>
  <c r="F123" i="1"/>
  <c r="L123" i="1" s="1"/>
  <c r="I122" i="1"/>
  <c r="L122" i="1" s="1"/>
  <c r="F122" i="1"/>
  <c r="L121" i="1"/>
  <c r="I121" i="1"/>
  <c r="F121" i="1"/>
  <c r="I120" i="1"/>
  <c r="F120" i="1"/>
  <c r="I119" i="1"/>
  <c r="L119" i="1" s="1"/>
  <c r="F119" i="1"/>
  <c r="I118" i="1"/>
  <c r="L118" i="1" s="1"/>
  <c r="F118" i="1"/>
  <c r="I117" i="1"/>
  <c r="F117" i="1"/>
  <c r="L117" i="1" s="1"/>
  <c r="I116" i="1"/>
  <c r="F116" i="1"/>
  <c r="I115" i="1"/>
  <c r="F115" i="1"/>
  <c r="I114" i="1"/>
  <c r="L114" i="1" s="1"/>
  <c r="F114" i="1"/>
  <c r="I113" i="1"/>
  <c r="L113" i="1" s="1"/>
  <c r="F113" i="1"/>
  <c r="I112" i="1"/>
  <c r="F112" i="1"/>
  <c r="I111" i="1"/>
  <c r="L111" i="1" s="1"/>
  <c r="F111" i="1"/>
  <c r="I110" i="1"/>
  <c r="F110" i="1"/>
  <c r="I109" i="1"/>
  <c r="F109" i="1"/>
  <c r="L109" i="1" s="1"/>
  <c r="I108" i="1"/>
  <c r="L108" i="1" s="1"/>
  <c r="F108" i="1"/>
  <c r="I107" i="1"/>
  <c r="F107" i="1"/>
  <c r="F106" i="1"/>
  <c r="L106" i="1" s="1"/>
  <c r="I105" i="1"/>
  <c r="F105" i="1"/>
  <c r="I104" i="1"/>
  <c r="F104" i="1"/>
  <c r="L104" i="1" s="1"/>
  <c r="I103" i="1"/>
  <c r="F103" i="1"/>
  <c r="L102" i="1"/>
  <c r="I102" i="1"/>
  <c r="F102" i="1"/>
  <c r="I101" i="1"/>
  <c r="F101" i="1"/>
  <c r="L100" i="1"/>
  <c r="I100" i="1"/>
  <c r="F100" i="1"/>
  <c r="I99" i="1"/>
  <c r="L99" i="1" s="1"/>
  <c r="F99" i="1"/>
  <c r="I98" i="1"/>
  <c r="F98" i="1"/>
  <c r="L98" i="1" s="1"/>
  <c r="I97" i="1"/>
  <c r="F97" i="1"/>
  <c r="I96" i="1"/>
  <c r="F96" i="1"/>
  <c r="L96" i="1" s="1"/>
  <c r="I95" i="1"/>
  <c r="L95" i="1" s="1"/>
  <c r="F95" i="1"/>
  <c r="I94" i="1"/>
  <c r="L94" i="1" s="1"/>
  <c r="F94" i="1"/>
  <c r="I93" i="1"/>
  <c r="L93" i="1" s="1"/>
  <c r="F93" i="1"/>
  <c r="L92" i="1"/>
  <c r="I92" i="1"/>
  <c r="F92" i="1"/>
  <c r="I91" i="1"/>
  <c r="F91" i="1"/>
  <c r="I90" i="1"/>
  <c r="F90" i="1"/>
  <c r="L90" i="1" s="1"/>
  <c r="I89" i="1"/>
  <c r="F89" i="1"/>
  <c r="I88" i="1"/>
  <c r="F88" i="1"/>
  <c r="I87" i="1"/>
  <c r="F87" i="1"/>
  <c r="I86" i="1"/>
  <c r="L86" i="1" s="1"/>
  <c r="F86" i="1"/>
  <c r="I85" i="1"/>
  <c r="L85" i="1" s="1"/>
  <c r="F85" i="1"/>
  <c r="I84" i="1"/>
  <c r="L84" i="1" s="1"/>
  <c r="F84" i="1"/>
  <c r="I83" i="1"/>
  <c r="F83" i="1"/>
  <c r="I82" i="1"/>
  <c r="F82" i="1"/>
  <c r="L82" i="1" s="1"/>
  <c r="I81" i="1"/>
  <c r="L81" i="1" s="1"/>
  <c r="F81" i="1"/>
  <c r="I80" i="1"/>
  <c r="F80" i="1"/>
  <c r="L80" i="1" s="1"/>
  <c r="I79" i="1"/>
  <c r="F79" i="1"/>
  <c r="I78" i="1"/>
  <c r="L78" i="1" s="1"/>
  <c r="F78" i="1"/>
  <c r="I77" i="1"/>
  <c r="F77" i="1"/>
  <c r="I76" i="1"/>
  <c r="L76" i="1" s="1"/>
  <c r="F76" i="1"/>
  <c r="I75" i="1"/>
  <c r="F75" i="1"/>
  <c r="I74" i="1"/>
  <c r="F74" i="1"/>
  <c r="I73" i="1"/>
  <c r="F73" i="1"/>
  <c r="I72" i="1"/>
  <c r="F72" i="1"/>
  <c r="I71" i="1"/>
  <c r="F71" i="1"/>
  <c r="L70" i="1"/>
  <c r="I70" i="1"/>
  <c r="F70" i="1"/>
  <c r="I69" i="1"/>
  <c r="F69" i="1"/>
  <c r="L68" i="1"/>
  <c r="I68" i="1"/>
  <c r="F68" i="1"/>
  <c r="I67" i="1"/>
  <c r="L67" i="1" s="1"/>
  <c r="F67" i="1"/>
  <c r="I66" i="1"/>
  <c r="F66" i="1"/>
  <c r="L66" i="1" s="1"/>
  <c r="I65" i="1"/>
  <c r="F65" i="1"/>
  <c r="I64" i="1"/>
  <c r="F64" i="1"/>
  <c r="I63" i="1"/>
  <c r="L63" i="1" s="1"/>
  <c r="F63" i="1"/>
  <c r="I62" i="1"/>
  <c r="L62" i="1" s="1"/>
  <c r="F62" i="1"/>
  <c r="I61" i="1"/>
  <c r="L61" i="1" s="1"/>
  <c r="F61" i="1"/>
  <c r="L60" i="1"/>
  <c r="I60" i="1"/>
  <c r="F60" i="1"/>
  <c r="I59" i="1"/>
  <c r="F59" i="1"/>
  <c r="I58" i="1"/>
  <c r="F58" i="1"/>
  <c r="L58" i="1" s="1"/>
  <c r="I57" i="1"/>
  <c r="F57" i="1"/>
  <c r="I56" i="1"/>
  <c r="F56" i="1"/>
  <c r="I55" i="1"/>
  <c r="F55" i="1"/>
  <c r="I54" i="1"/>
  <c r="L54" i="1" s="1"/>
  <c r="F54" i="1"/>
  <c r="I53" i="1"/>
  <c r="L53" i="1" s="1"/>
  <c r="F53" i="1"/>
  <c r="I52" i="1"/>
  <c r="L52" i="1" s="1"/>
  <c r="F52" i="1"/>
  <c r="I51" i="1"/>
  <c r="F51" i="1"/>
  <c r="I50" i="1"/>
  <c r="F50" i="1"/>
  <c r="L50" i="1" s="1"/>
  <c r="I49" i="1"/>
  <c r="L49" i="1" s="1"/>
  <c r="F49" i="1"/>
  <c r="I48" i="1"/>
  <c r="F48" i="1"/>
  <c r="L48" i="1" s="1"/>
  <c r="I47" i="1"/>
  <c r="F47" i="1"/>
  <c r="I46" i="1"/>
  <c r="L46" i="1" s="1"/>
  <c r="F46" i="1"/>
  <c r="I45" i="1"/>
  <c r="F45" i="1"/>
  <c r="I44" i="1"/>
  <c r="L44" i="1" s="1"/>
  <c r="F44" i="1"/>
  <c r="I43" i="1"/>
  <c r="F43" i="1"/>
  <c r="I42" i="1"/>
  <c r="F42" i="1"/>
  <c r="I41" i="1"/>
  <c r="F41" i="1"/>
  <c r="I40" i="1"/>
  <c r="F40" i="1"/>
  <c r="L40" i="1" s="1"/>
  <c r="I39" i="1"/>
  <c r="F39" i="1"/>
  <c r="L38" i="1"/>
  <c r="I38" i="1"/>
  <c r="F38" i="1"/>
  <c r="I37" i="1"/>
  <c r="F37" i="1"/>
  <c r="L36" i="1"/>
  <c r="I36" i="1"/>
  <c r="F36" i="1"/>
  <c r="I35" i="1"/>
  <c r="L35" i="1" s="1"/>
  <c r="F35" i="1"/>
  <c r="I34" i="1"/>
  <c r="F34" i="1"/>
  <c r="L34" i="1" s="1"/>
  <c r="I33" i="1"/>
  <c r="F33" i="1"/>
  <c r="I32" i="1"/>
  <c r="F32" i="1"/>
  <c r="L32" i="1" s="1"/>
  <c r="I31" i="1"/>
  <c r="L31" i="1" s="1"/>
  <c r="F31" i="1"/>
  <c r="I30" i="1"/>
  <c r="L30" i="1" s="1"/>
  <c r="F30" i="1"/>
  <c r="I29" i="1"/>
  <c r="L29" i="1" s="1"/>
  <c r="F29" i="1"/>
  <c r="I28" i="1"/>
  <c r="L28" i="1" s="1"/>
  <c r="F28" i="1"/>
  <c r="I27" i="1"/>
  <c r="F27" i="1"/>
  <c r="I26" i="1"/>
  <c r="F26" i="1"/>
  <c r="L26" i="1" s="1"/>
  <c r="I25" i="1"/>
  <c r="F25" i="1"/>
  <c r="I24" i="1"/>
  <c r="F24" i="1"/>
  <c r="I23" i="1"/>
  <c r="F23" i="1"/>
  <c r="I22" i="1"/>
  <c r="L22" i="1" s="1"/>
  <c r="F22" i="1"/>
  <c r="I21" i="1"/>
  <c r="F21" i="1"/>
  <c r="I20" i="1"/>
  <c r="L20" i="1" s="1"/>
  <c r="F20" i="1"/>
  <c r="I19" i="1"/>
  <c r="F19" i="1"/>
  <c r="I18" i="1"/>
  <c r="F18" i="1"/>
  <c r="L18" i="1" s="1"/>
  <c r="I17" i="1"/>
  <c r="L17" i="1" s="1"/>
  <c r="F17" i="1"/>
  <c r="I16" i="1"/>
  <c r="F16" i="1"/>
  <c r="I15" i="1"/>
  <c r="F15" i="1"/>
  <c r="I14" i="1"/>
  <c r="L14" i="1" s="1"/>
  <c r="F14" i="1"/>
  <c r="I13" i="1"/>
  <c r="F13" i="1"/>
  <c r="I12" i="1"/>
  <c r="L12" i="1" s="1"/>
  <c r="F12" i="1"/>
  <c r="I11" i="1"/>
  <c r="F11" i="1"/>
  <c r="I10" i="1"/>
  <c r="F10" i="1"/>
  <c r="I9" i="1"/>
  <c r="F9" i="1"/>
  <c r="I8" i="1"/>
  <c r="F8" i="1"/>
  <c r="I7" i="1"/>
  <c r="F7" i="1"/>
  <c r="L6" i="1"/>
  <c r="I6" i="1"/>
  <c r="F6" i="1"/>
  <c r="I5" i="1"/>
  <c r="F5" i="1"/>
  <c r="L4" i="1"/>
  <c r="I4" i="1"/>
  <c r="F4" i="1"/>
  <c r="I3" i="1"/>
  <c r="L3" i="1" s="1"/>
  <c r="F3" i="1"/>
  <c r="I2" i="1"/>
  <c r="F2" i="1"/>
  <c r="L2" i="1" s="1"/>
  <c r="L102" i="2" l="1"/>
  <c r="L33" i="1"/>
  <c r="L79" i="1"/>
  <c r="L97" i="1"/>
  <c r="L112" i="1"/>
  <c r="L144" i="1"/>
  <c r="L4" i="2"/>
  <c r="L21" i="2"/>
  <c r="L41" i="2"/>
  <c r="L51" i="2"/>
  <c r="L132" i="2"/>
  <c r="L142" i="2"/>
  <c r="L196" i="2"/>
  <c r="L206" i="2"/>
  <c r="L223" i="2"/>
  <c r="L15" i="1"/>
  <c r="L69" i="1"/>
  <c r="L101" i="1"/>
  <c r="L116" i="1"/>
  <c r="L130" i="1"/>
  <c r="L134" i="1"/>
  <c r="L148" i="1"/>
  <c r="L162" i="1"/>
  <c r="L166" i="1"/>
  <c r="L180" i="1"/>
  <c r="L187" i="1"/>
  <c r="L194" i="1"/>
  <c r="L198" i="1"/>
  <c r="L212" i="1"/>
  <c r="L219" i="1"/>
  <c r="L11" i="2"/>
  <c r="L45" i="2"/>
  <c r="L65" i="2"/>
  <c r="L75" i="2"/>
  <c r="L136" i="2"/>
  <c r="L156" i="2"/>
  <c r="L166" i="2"/>
  <c r="L200" i="2"/>
  <c r="L220" i="2"/>
  <c r="L83" i="1"/>
  <c r="L16" i="1"/>
  <c r="L27" i="1"/>
  <c r="L41" i="1"/>
  <c r="L55" i="1"/>
  <c r="L73" i="1"/>
  <c r="L91" i="1"/>
  <c r="L105" i="1"/>
  <c r="L120" i="1"/>
  <c r="L152" i="1"/>
  <c r="L184" i="1"/>
  <c r="L216" i="1"/>
  <c r="L5" i="2"/>
  <c r="L25" i="2"/>
  <c r="L35" i="2"/>
  <c r="L69" i="2"/>
  <c r="L89" i="2"/>
  <c r="L99" i="2"/>
  <c r="L116" i="2"/>
  <c r="L126" i="2"/>
  <c r="L143" i="2"/>
  <c r="L160" i="2"/>
  <c r="L180" i="2"/>
  <c r="L190" i="2"/>
  <c r="L207" i="2"/>
  <c r="L224" i="2"/>
  <c r="L47" i="1"/>
  <c r="L5" i="1"/>
  <c r="L37" i="1"/>
  <c r="L9" i="1"/>
  <c r="L23" i="1"/>
  <c r="L59" i="1"/>
  <c r="L87" i="1"/>
  <c r="L10" i="1"/>
  <c r="L13" i="1"/>
  <c r="L24" i="1"/>
  <c r="L42" i="1"/>
  <c r="L45" i="1"/>
  <c r="L56" i="1"/>
  <c r="L74" i="1"/>
  <c r="L77" i="1"/>
  <c r="L88" i="1"/>
  <c r="L110" i="1"/>
  <c r="L124" i="1"/>
  <c r="L138" i="1"/>
  <c r="L142" i="1"/>
  <c r="L156" i="1"/>
  <c r="L170" i="1"/>
  <c r="L174" i="1"/>
  <c r="L188" i="1"/>
  <c r="L195" i="1"/>
  <c r="L202" i="1"/>
  <c r="L206" i="1"/>
  <c r="L220" i="1"/>
  <c r="L6" i="2"/>
  <c r="L12" i="2"/>
  <c r="L29" i="2"/>
  <c r="L49" i="2"/>
  <c r="L59" i="2"/>
  <c r="L70" i="2"/>
  <c r="L93" i="2"/>
  <c r="L100" i="2"/>
  <c r="L120" i="2"/>
  <c r="L127" i="2"/>
  <c r="L140" i="2"/>
  <c r="L150" i="2"/>
  <c r="L161" i="2"/>
  <c r="L184" i="2"/>
  <c r="L191" i="2"/>
  <c r="L204" i="2"/>
  <c r="L214" i="2"/>
  <c r="L51" i="1"/>
  <c r="L107" i="1"/>
  <c r="L125" i="1"/>
  <c r="L139" i="1"/>
  <c r="L157" i="1"/>
  <c r="L189" i="1"/>
  <c r="L221" i="1"/>
  <c r="L185" i="2"/>
  <c r="L19" i="1"/>
  <c r="L72" i="1"/>
  <c r="L13" i="2"/>
  <c r="L33" i="2"/>
  <c r="L43" i="2"/>
  <c r="L77" i="2"/>
  <c r="L97" i="2"/>
  <c r="L124" i="2"/>
  <c r="L134" i="2"/>
  <c r="L198" i="2"/>
  <c r="L215" i="2"/>
  <c r="L8" i="1"/>
  <c r="L65" i="1"/>
  <c r="L21" i="1"/>
  <c r="L7" i="1"/>
  <c r="L11" i="1"/>
  <c r="L25" i="1"/>
  <c r="L39" i="1"/>
  <c r="L43" i="1"/>
  <c r="L57" i="1"/>
  <c r="L64" i="1"/>
  <c r="L71" i="1"/>
  <c r="L75" i="1"/>
  <c r="L89" i="1"/>
  <c r="L103" i="1"/>
  <c r="L115" i="1"/>
  <c r="L133" i="1"/>
  <c r="L136" i="1"/>
  <c r="L147" i="1"/>
  <c r="L165" i="1"/>
  <c r="L168" i="1"/>
  <c r="L197" i="1"/>
  <c r="L200" i="1"/>
  <c r="L3" i="2"/>
  <c r="L14" i="2"/>
  <c r="L37" i="2"/>
  <c r="L57" i="2"/>
  <c r="L67" i="2"/>
  <c r="L78" i="2"/>
  <c r="L101" i="2"/>
  <c r="L128" i="2"/>
  <c r="L135" i="2"/>
  <c r="L148" i="2"/>
  <c r="L158" i="2"/>
  <c r="L169" i="2"/>
  <c r="L192" i="2"/>
  <c r="L212" i="2"/>
  <c r="L225" i="1"/>
  <c r="I225" i="2"/>
  <c r="L225" i="2" s="1"/>
</calcChain>
</file>

<file path=xl/sharedStrings.xml><?xml version="1.0" encoding="utf-8"?>
<sst xmlns="http://schemas.openxmlformats.org/spreadsheetml/2006/main" count="2451" uniqueCount="443">
  <si>
    <t>Booth No</t>
  </si>
  <si>
    <t>Village / Polling Station (English)</t>
  </si>
  <si>
    <t>Village Name (Punjabi)</t>
  </si>
  <si>
    <t>AAP Status Category</t>
  </si>
  <si>
    <t>2022 AAP Votes</t>
  </si>
  <si>
    <t>2022 AAP %</t>
  </si>
  <si>
    <t>2022 Winner</t>
  </si>
  <si>
    <t>2024 AAP Votes</t>
  </si>
  <si>
    <t>2024 AAP %</t>
  </si>
  <si>
    <t>2024 Winner</t>
  </si>
  <si>
    <t>Vote Shift (+/-)</t>
  </si>
  <si>
    <t>Swing % (+/-)</t>
  </si>
  <si>
    <t>2024 Margin</t>
  </si>
  <si>
    <t>2024 Total Polled</t>
  </si>
  <si>
    <t>Jogewal Jattan</t>
  </si>
  <si>
    <t>ਜੋਗੇਵਾਲ ਜੱਟਾਂ</t>
  </si>
  <si>
    <t>Gained in 2024 (New Win)</t>
  </si>
  <si>
    <t>INC</t>
  </si>
  <si>
    <t>AAP</t>
  </si>
  <si>
    <t>Chhotepur</t>
  </si>
  <si>
    <t>ਛੋਟੇਪੁਰ</t>
  </si>
  <si>
    <t>Won Both Times (Stronghold)</t>
  </si>
  <si>
    <t>Allowal</t>
  </si>
  <si>
    <t>ਆਲੋਵਾਲ</t>
  </si>
  <si>
    <t>Kot Santokh Rai</t>
  </si>
  <si>
    <t>ਕੋਟ ਸੰਤੋਖ ਰਾਏ</t>
  </si>
  <si>
    <t>Lost Both Times (Deficit)</t>
  </si>
  <si>
    <t>SAD</t>
  </si>
  <si>
    <t>Kheh Tikha + Chakk Gharoye</t>
  </si>
  <si>
    <t>ਖੇਹ ਤਿੱਖਾ + ਚੱਕ ਘਰੋਏ</t>
  </si>
  <si>
    <t>Chakk Deepewal + Devidaspur</t>
  </si>
  <si>
    <t>ਚੱਕ ਦੀਪੇਵਾਲ + ਦੇਵੀਦਾਸਪੁਰ</t>
  </si>
  <si>
    <t>Bal</t>
  </si>
  <si>
    <t>ਬੱਲ</t>
  </si>
  <si>
    <t>Sanghar</t>
  </si>
  <si>
    <t>ਸੰਘਰ</t>
  </si>
  <si>
    <t>Weak Booth (&lt; 20% Share)</t>
  </si>
  <si>
    <t>Akhlaspur</t>
  </si>
  <si>
    <t>ਅਖਲਾਸਪੁਰ</t>
  </si>
  <si>
    <t>Singhpura</t>
  </si>
  <si>
    <t>ਸਿੰਘਪੁਰਾ</t>
  </si>
  <si>
    <t>Badesh</t>
  </si>
  <si>
    <t>ਬਦੇਸ਼ਾਂ</t>
  </si>
  <si>
    <t>Lost in 2024 (to INC)</t>
  </si>
  <si>
    <t>Sandhwan</t>
  </si>
  <si>
    <t>ਸੰਧਵਾਂ</t>
  </si>
  <si>
    <t>Kalyanpur</t>
  </si>
  <si>
    <t>ਕਲਿਆਨਪੁਰ</t>
  </si>
  <si>
    <t>Gurdas Nangal + Badiyawala</t>
  </si>
  <si>
    <t>ਗੁਰਦਾਸ ਨੰਗਲ + ਬੜੀਆਵਾਲਾ</t>
  </si>
  <si>
    <t>Japuwal</t>
  </si>
  <si>
    <t>ਜਾਪੂਵਾਲ</t>
  </si>
  <si>
    <t>Dhariwal</t>
  </si>
  <si>
    <t>ਧਾਰੀਵਾਲ</t>
  </si>
  <si>
    <t>Sohal</t>
  </si>
  <si>
    <t>ਸੋਹਲ</t>
  </si>
  <si>
    <t>Mahandev Kalan</t>
  </si>
  <si>
    <t>ਮਹਾਂਦੇਵ ਕਲਾਂ</t>
  </si>
  <si>
    <t>Pir Di Sain</t>
  </si>
  <si>
    <t>ਪੀਰ ਦੀ ਸੈਨ</t>
  </si>
  <si>
    <t>Trija Nagar + Rania</t>
  </si>
  <si>
    <t>ਤਰੀਜਾ ਨੰਗਰ + ਰਣੀਆ</t>
  </si>
  <si>
    <t>Rania</t>
  </si>
  <si>
    <t>ਰਣੀਆਂ</t>
  </si>
  <si>
    <t>ਰਣੀਆ</t>
  </si>
  <si>
    <t>Lost in 2024 (to BJP)</t>
  </si>
  <si>
    <t>BJP</t>
  </si>
  <si>
    <t>Daddwan</t>
  </si>
  <si>
    <t>ਡੱਡਵਾਂ</t>
  </si>
  <si>
    <t>Kang</t>
  </si>
  <si>
    <t>ਕੰਗ</t>
  </si>
  <si>
    <t>Ahmedabad</t>
  </si>
  <si>
    <t>ਅਹਿਮਦਾਬਾਦ</t>
  </si>
  <si>
    <t>Lost in 2024 (to SAD)</t>
  </si>
  <si>
    <t>Fateh Nangal</t>
  </si>
  <si>
    <t>ਫਤਿਹ ਨੰਗਲ</t>
  </si>
  <si>
    <t>Fajju Pura</t>
  </si>
  <si>
    <t>ਫੱਜੂਪੁਰਾ</t>
  </si>
  <si>
    <t>Sujanpur, Maali Samrai</t>
  </si>
  <si>
    <t>ਸੁਜਾਨਪੁਰ, ਮਾਲੀ ਸਮਰਾਏ</t>
  </si>
  <si>
    <t>Khunda</t>
  </si>
  <si>
    <t>ਖੁੰਡਾ</t>
  </si>
  <si>
    <t>Khundi</t>
  </si>
  <si>
    <t>ਖੁੰਡੀ</t>
  </si>
  <si>
    <t>Lehal</t>
  </si>
  <si>
    <t>ਲੇਹਲ</t>
  </si>
  <si>
    <t>Badoye</t>
  </si>
  <si>
    <t>ਬੜੋਏ</t>
  </si>
  <si>
    <t>Jafarwal</t>
  </si>
  <si>
    <t>ਜਫਰਵਾਲ</t>
  </si>
  <si>
    <t>Sidhwan</t>
  </si>
  <si>
    <t>ਸਿਧਵਾਂ</t>
  </si>
  <si>
    <t>Mallian Fakiran</t>
  </si>
  <si>
    <t>ਮੱਲੀਆਂ ਫਕੀਰਾਂ</t>
  </si>
  <si>
    <t>Faizulla Chak</t>
  </si>
  <si>
    <t>ਫੈਜੁੱਲਾ ਚੱਕ</t>
  </si>
  <si>
    <t>Dehriwal Daroga</t>
  </si>
  <si>
    <t>ਡੇਹਰੀਵਾਲ ਦਰੋਗਾ</t>
  </si>
  <si>
    <t>Khan Mallak</t>
  </si>
  <si>
    <t>ਖਾਨ ਮੱਲਕ</t>
  </si>
  <si>
    <t>Pasnawal</t>
  </si>
  <si>
    <t>ਪਸਨਾਵਾਲ</t>
  </si>
  <si>
    <t>Dhariwal Kalan</t>
  </si>
  <si>
    <t>ਧਾਰੀਵਾਲ ਕਲਾਂ</t>
  </si>
  <si>
    <t>Gill Manj</t>
  </si>
  <si>
    <t>ਗਿਲ ਮੰਝ</t>
  </si>
  <si>
    <t>Chhina Retwala</t>
  </si>
  <si>
    <t>ਛੀਨਾ ਰੇਤ ਵਾਲਾ</t>
  </si>
  <si>
    <t>Thakkar Sandhu</t>
  </si>
  <si>
    <t>ਠੱਕਰ ਸੰਧੂ</t>
  </si>
  <si>
    <t>Kallu Sohal</t>
  </si>
  <si>
    <t>ਕੱਲੂ ਸੋਹਲ</t>
  </si>
  <si>
    <t>Jogi Cheema + Chamiyari</t>
  </si>
  <si>
    <t>ਜੋਗੀ ਚੀਮਾ + ਚਮਿਆਰੀ</t>
  </si>
  <si>
    <t>Mallian</t>
  </si>
  <si>
    <t>ਮੱਲੀਆਂ</t>
  </si>
  <si>
    <t>Balaggan</t>
  </si>
  <si>
    <t>ਬਲੱਗਣ</t>
  </si>
  <si>
    <t>Kala Bala</t>
  </si>
  <si>
    <t>ਕਾਲਾ ਬਾਲਾ</t>
  </si>
  <si>
    <t>Kot Yograj</t>
  </si>
  <si>
    <t>ਕੋਟ ਯੋਗਰਾਜ</t>
  </si>
  <si>
    <t>Duluana</t>
  </si>
  <si>
    <t>ਦੁਲੂਆਣਾ</t>
  </si>
  <si>
    <t>Sahaipur, Langarkot, Haveli Harni</t>
  </si>
  <si>
    <t>ਸਹਾਈਪੁਰ, ਲੰਗਰਕੋਟ, ਹਵੇਲੀ ਹਾਰਨੀ</t>
  </si>
  <si>
    <t>Bhikari Harni, Saidpur Harni, Bhore Harni</t>
  </si>
  <si>
    <t>ਭਿਖਾਰੀ ਹਾਰਨੀ, ਸੈਦਪੁਰ ਹਾਰਨੀ, ਭੋਰੇ ਹਾਰਨੀ</t>
  </si>
  <si>
    <t>Sathiali</t>
  </si>
  <si>
    <t>ਸਠਿਆਲੀ</t>
  </si>
  <si>
    <t>Kahnuwan</t>
  </si>
  <si>
    <t>ਕਾਹਨੂੰਵਾਨ</t>
  </si>
  <si>
    <t>Chhorian Bangar</t>
  </si>
  <si>
    <t>ਛੋੜੀਆ ਬਾਂਗਰ</t>
  </si>
  <si>
    <t>Kotli Siania</t>
  </si>
  <si>
    <t>ਕੋਟਲੀ ਸਿਆਣੀਆਂ</t>
  </si>
  <si>
    <t>No Polling in 2024</t>
  </si>
  <si>
    <t>N/A</t>
  </si>
  <si>
    <t>Saidowal Khurd</t>
  </si>
  <si>
    <t>ਸੈਦੋਵਾਲ ਖੁਰਦ</t>
  </si>
  <si>
    <t>Saidowal Khurd, Bhaini Kaniya, Chakk Abdul</t>
  </si>
  <si>
    <t>ਸੈਦੋਵਾਲ ਖੁਰਦ, ਭੈਣੀ ਕਾਨੀਆਂ, ਚੱਕ ਅਬਦੁਲ</t>
  </si>
  <si>
    <t>Darapur, Jangal</t>
  </si>
  <si>
    <t>ਦਾਰਾਪੁਰ, ਜੰਗਲ</t>
  </si>
  <si>
    <t>Gulepur, Gargarian</t>
  </si>
  <si>
    <t>ਗੁਲੇਪੁਰ, ਗਾਰਗੜੀਆਂ</t>
  </si>
  <si>
    <t>Gulepur</t>
  </si>
  <si>
    <t>ਗੁਲੇਪੁਰ</t>
  </si>
  <si>
    <t>Jagowal Bet</t>
  </si>
  <si>
    <t>ਜਾਗੋਵਾਲ ਬੇਟ</t>
  </si>
  <si>
    <t>Jagowal Bet, Jaati Sarai, Bhuriya Gujran</t>
  </si>
  <si>
    <t>ਜਾਗੋਵਾਲ ਬੇਟ, ਜਾਤੀ ਸਰਾਏ, ਭੂਰੀਆ ਗੁਜਰਾਂ</t>
  </si>
  <si>
    <t>Bhaini Paswal</t>
  </si>
  <si>
    <t>ਭੈਣੀ ਪਸਵਾਲ</t>
  </si>
  <si>
    <t>Bhaini Paswal, Randhawa Colony</t>
  </si>
  <si>
    <t>ਭੈਣੀ ਪਸਵਾਲ, ਰੰਧਾਵਾ ਕਲੋਨੀ</t>
  </si>
  <si>
    <t>Kishanpur, Kathana, Yodhe</t>
  </si>
  <si>
    <t>ਕਿਸ਼ਨਪੁਰ, ਕਠਾਣਾ, ਯੋਧੇ</t>
  </si>
  <si>
    <t>Munan Kalan</t>
  </si>
  <si>
    <t>ਮੰਨਣ ਕਲਾਂ</t>
  </si>
  <si>
    <t>Bujarh</t>
  </si>
  <si>
    <t>ਬੁਜਾੜ</t>
  </si>
  <si>
    <t>Baruhia Molian, Piro Nangal, Sarwarpur, Bhulripur, Bhum</t>
  </si>
  <si>
    <t>ਬਰੂਹੀਆ ਮੋਲੀਆਂ, ਪੀਰੋ ਨੰਗਲ, ਸਰਵਰਪੁਰ, ਭੁਲੜੀਪੁਰ, ਭੂਮ</t>
  </si>
  <si>
    <t>Chak Sharif</t>
  </si>
  <si>
    <t>ਚੱਕ ਸਰੀਫ</t>
  </si>
  <si>
    <t>Kotla Gujran, Jhanda Gujran</t>
  </si>
  <si>
    <t>ਕੋਟਲਾ ਗੁਜਰਾਂ, ਝੰਡਾ ਗੁਜਰਾਂ</t>
  </si>
  <si>
    <t>Sallopur</t>
  </si>
  <si>
    <t>ਸੱਲੋਪੁਰ</t>
  </si>
  <si>
    <t>Kotli Garhwan</t>
  </si>
  <si>
    <t>ਕੋਟਲੀ ਗਰਲਵਾਂ</t>
  </si>
  <si>
    <t>Chak Yakub</t>
  </si>
  <si>
    <t>ਚੱਕ ਯਾਕੂਬ</t>
  </si>
  <si>
    <t>Ladhupur</t>
  </si>
  <si>
    <t>ਲਾਧੂਪੁਰ</t>
  </si>
  <si>
    <t>Nainekot</t>
  </si>
  <si>
    <t>ਨੈਨੇਕੋਟ</t>
  </si>
  <si>
    <t>Dhesian</t>
  </si>
  <si>
    <t>ਢੇਸੀਆਂ</t>
  </si>
  <si>
    <t>Raowal</t>
  </si>
  <si>
    <t>ਰਾਓਵਾਲ</t>
  </si>
  <si>
    <t>Nimane</t>
  </si>
  <si>
    <t>ਨਿਮਾਣੇ</t>
  </si>
  <si>
    <t>Kot Dhandal</t>
  </si>
  <si>
    <t>ਕੋਟ ਧੰਦਲ</t>
  </si>
  <si>
    <t>Bhittewadd</t>
  </si>
  <si>
    <t>ਭਿਟੇਵੱਡ</t>
  </si>
  <si>
    <t>Kot Todar Mal</t>
  </si>
  <si>
    <t>ਕੋਟ ਟੋਡਰ ਮੱਲ</t>
  </si>
  <si>
    <t>Rooda Buttar</t>
  </si>
  <si>
    <t>ਰੂੜਾ ਬੁੱਟਰ</t>
  </si>
  <si>
    <t>Malian</t>
  </si>
  <si>
    <t>ਮਾਲੀਆਂ</t>
  </si>
  <si>
    <t>Khara</t>
  </si>
  <si>
    <t>ਖਾਰਾ</t>
  </si>
  <si>
    <t>Waraich</t>
  </si>
  <si>
    <t>ਵੜੈਚ</t>
  </si>
  <si>
    <t>Qadian Ward No. 4</t>
  </si>
  <si>
    <t>ਕਾਦੀਆਂ ਵਾਰਡ ਨੰ. 4</t>
  </si>
  <si>
    <t>Qadian Ward No. 2</t>
  </si>
  <si>
    <t>ਕਾਦੀਆਂ ਵਾਰਡ ਨੰ. 2</t>
  </si>
  <si>
    <t>Qadian Ward No. 1</t>
  </si>
  <si>
    <t>ਕਾਦੀਆਂ ਵਾਰਡ ਨੰ. 1</t>
  </si>
  <si>
    <t>Qadian Ward No. 7</t>
  </si>
  <si>
    <t>ਕਾਦੀਆਂ ਵਾਰਡ ਨੰ. 7</t>
  </si>
  <si>
    <t>Qadian Ward No. 8</t>
  </si>
  <si>
    <t>ਕਾਦੀਆਂ ਵਾਰਡ ਨੰ. 8</t>
  </si>
  <si>
    <t>Qadian Civil Lines</t>
  </si>
  <si>
    <t>ਕਾਦੀਆਂ ਸਿਵਲ ਲਾਈਨ</t>
  </si>
  <si>
    <t>Qadian Ward No. 6</t>
  </si>
  <si>
    <t>ਕਾਦੀਆਂ ਵਾਰਡ ਨੰ. 6</t>
  </si>
  <si>
    <t>Qadian Ward No. 5</t>
  </si>
  <si>
    <t>ਕਾਦੀਆਂ ਵਾਰਡ ਨੰ. 5</t>
  </si>
  <si>
    <t>Qadian Ward No. 11</t>
  </si>
  <si>
    <t>ਕਾਦੀਆਂ ਵਾਰਡ ਨੰ. 11</t>
  </si>
  <si>
    <t>Qadian Ward No. 10</t>
  </si>
  <si>
    <t>ਕਾਦੀਆਂ ਵਾਰਡ ਨੰ. 10</t>
  </si>
  <si>
    <t>Qadian Ward No. 12</t>
  </si>
  <si>
    <t>ਕਾਦੀਆਂ ਵਾਰਡ ਨੰ. 12</t>
  </si>
  <si>
    <t>Qadian Ward No. 9</t>
  </si>
  <si>
    <t>ਕਾਦੀਆਂ ਵਾਰਡ ਨੰ. 9</t>
  </si>
  <si>
    <t>Qadian Ward No. 13</t>
  </si>
  <si>
    <t>ਕਾਦੀਆਂ ਵਾਰਡ ਨੰ. 13</t>
  </si>
  <si>
    <t>Qadian Ward No. 15</t>
  </si>
  <si>
    <t>ਕਾਦੀਆਂ ਵਾਰਡ ਨੰ. 15</t>
  </si>
  <si>
    <t>Qadian Ward No. 14</t>
  </si>
  <si>
    <t>ਕਾਦੀਆਂ ਵਾਰਡ ਨੰ. 14</t>
  </si>
  <si>
    <t>Qadian Ward No. 3</t>
  </si>
  <si>
    <t>ਕਾਦੀਆਂ ਵਾਰਡ ਨੰ. 3</t>
  </si>
  <si>
    <t>Nathpur</t>
  </si>
  <si>
    <t>ਨਾਥਪੁਰ</t>
  </si>
  <si>
    <t>Bhagatpura Rathwala</t>
  </si>
  <si>
    <t>ਭਗਤਪੁਰਾ ਰੱਥਵਾਲਾ</t>
  </si>
  <si>
    <t>Nangal Baghbana</t>
  </si>
  <si>
    <t>ਨੰਗਲ ਬਾਗਬਾਨਾ</t>
  </si>
  <si>
    <t>Chhota Nangal</t>
  </si>
  <si>
    <t>ਛੋਟਾ ਨੰਗਲ</t>
  </si>
  <si>
    <t>Kahlwan</t>
  </si>
  <si>
    <t>ਕਾਹਲਵਾਂ</t>
  </si>
  <si>
    <t>Basrai</t>
  </si>
  <si>
    <t>ਬਸਰਈ</t>
  </si>
  <si>
    <t>Daili Bangar</t>
  </si>
  <si>
    <t>ਡੈਲੀ ਬਾਂਗਰ</t>
  </si>
  <si>
    <t>Bhangwan</t>
  </si>
  <si>
    <t>ਭੰਗਵਾਂ</t>
  </si>
  <si>
    <t>Salarpur</t>
  </si>
  <si>
    <t>ਸਲਾਰਪੁਰ</t>
  </si>
  <si>
    <t>Chandogi Mayian Singh</t>
  </si>
  <si>
    <t>ਚੰਡੋਗੀ ਮਈਆਂ ਸਿੰਘ</t>
  </si>
  <si>
    <t>Kunt</t>
  </si>
  <si>
    <t>ਕੂੰਟ</t>
  </si>
  <si>
    <t>Ghot Khurd</t>
  </si>
  <si>
    <t>ਗੋਹਤ ਖੁਰਦ</t>
  </si>
  <si>
    <t>Hambowal</t>
  </si>
  <si>
    <t>ਹੰਬੋਵਾਲ</t>
  </si>
  <si>
    <t>Chib</t>
  </si>
  <si>
    <t>ਛਿੱਬ</t>
  </si>
  <si>
    <t>Bhattian</t>
  </si>
  <si>
    <t>ਭੱਟੀਆਂ</t>
  </si>
  <si>
    <t>Jangowal Bangar</t>
  </si>
  <si>
    <t>ਜਾਂਗੋਵਾਲ ਬਾਂਗਰ</t>
  </si>
  <si>
    <t>Kiri Afghana</t>
  </si>
  <si>
    <t>ਕੀੜੀ ਅਫਗਾਨਾ</t>
  </si>
  <si>
    <t>Kotli Harchanda</t>
  </si>
  <si>
    <t>ਕੋਟਲੀ ਹਰਚੰਦਾ</t>
  </si>
  <si>
    <t>Ghukkan</t>
  </si>
  <si>
    <t>ਘੁੱਕਲਾਂ</t>
  </si>
  <si>
    <t>Jalalpur</t>
  </si>
  <si>
    <t>ਜਲਾਲਪੁਰ</t>
  </si>
  <si>
    <t>Bagol</t>
  </si>
  <si>
    <t>ਬਗੋਲ</t>
  </si>
  <si>
    <t>Lakhanpur</t>
  </si>
  <si>
    <t>ਲਖਣਪੁਰ</t>
  </si>
  <si>
    <t>Tugalwal</t>
  </si>
  <si>
    <t>ਤੁਗਲਵਾਲ</t>
  </si>
  <si>
    <t>Seeh Bhatti</t>
  </si>
  <si>
    <t>ਸੀਂਹ ਭੱਟੀ</t>
  </si>
  <si>
    <t>Beri</t>
  </si>
  <si>
    <t>ਬੇਰੀ</t>
  </si>
  <si>
    <t>Thakkarwal</t>
  </si>
  <si>
    <t>ਠੱਕਰਵਾਲ</t>
  </si>
  <si>
    <t>Sooch</t>
  </si>
  <si>
    <t>ਸੂਚ</t>
  </si>
  <si>
    <t>Datarpur, Bhochna</t>
  </si>
  <si>
    <t>ਦਤਾਰਪੁਰ, ਭੋਚਨਾ</t>
  </si>
  <si>
    <t>Kot Khan Mohammad</t>
  </si>
  <si>
    <t>ਕੋਟ ਖਾਨ ਮੁਹੰਮਦ</t>
  </si>
  <si>
    <t>Ferochechi</t>
  </si>
  <si>
    <t>ਫੇਰੋਚੇਚੀ</t>
  </si>
  <si>
    <t>Jeendarh</t>
  </si>
  <si>
    <t>ਜੀਂਦੜ</t>
  </si>
  <si>
    <t>Ghorewah</t>
  </si>
  <si>
    <t>ਘੋੜੇਵਾਹ</t>
  </si>
  <si>
    <t>Gorsian</t>
  </si>
  <si>
    <t>ਗੋਰਸੀਆਂ</t>
  </si>
  <si>
    <t>Nanowal Khurd</t>
  </si>
  <si>
    <t>ਨਾਨੋਵਾਲ ਖੁਰਦ</t>
  </si>
  <si>
    <t>Mehrey</t>
  </si>
  <si>
    <t>ਮੈਹੜੇ</t>
  </si>
  <si>
    <t>Bhaini Mian Khan</t>
  </si>
  <si>
    <t>ਭੈਣੀ ਮੀਆਂ ਖਾਂ</t>
  </si>
  <si>
    <t>Jhanda Lubana</t>
  </si>
  <si>
    <t>ਝੰਡਾ ਲੁਬਾਣਾ</t>
  </si>
  <si>
    <t>Dhandoi</t>
  </si>
  <si>
    <t>ਧਾਂਦੋਈ</t>
  </si>
  <si>
    <t>Chhichhda</t>
  </si>
  <si>
    <t>ਛਿੱਛੜਾ</t>
  </si>
  <si>
    <t>Raju Bela</t>
  </si>
  <si>
    <t>ਰਾਜੂ ਬੇਲਾ</t>
  </si>
  <si>
    <t>Alma</t>
  </si>
  <si>
    <t>ਆਲਮਾ</t>
  </si>
  <si>
    <t>Awan, Salarpur, Bishanpur, Kisana, Dhore Kalian, Kotli Gujran</t>
  </si>
  <si>
    <t>ਅਵਾਣ, ਸਲਾਰਪੁਰ, ਬਿਸਨਪੁਰ, ਕਿਸਾਨਾ, ਧੋਰੇ ਕਲੀਆਂ, ਕੋਟਲੀ ਗੁਜਰਾਂ</t>
  </si>
  <si>
    <t>Mochpur</t>
  </si>
  <si>
    <t>ਮੋਚਪੁਰ</t>
  </si>
  <si>
    <t>Navian Bagrian, Mitha</t>
  </si>
  <si>
    <t>ਨਵੀਆਂ ਬਗੜੀਆਂ, ਮਿਠਾ</t>
  </si>
  <si>
    <t>Bagrian</t>
  </si>
  <si>
    <t>ਬਾਗੜੀਆਂ</t>
  </si>
  <si>
    <t>Rajpura</t>
  </si>
  <si>
    <t>ਰਾਜਪੁਰਾ</t>
  </si>
  <si>
    <t>Bhaini Khadar</t>
  </si>
  <si>
    <t>ਭੈਣੀ ਖਾਦਰ</t>
  </si>
  <si>
    <t>Mullanwal</t>
  </si>
  <si>
    <t>ਮੁੱਲਾਂਵਾਲ</t>
  </si>
  <si>
    <t>Paswal</t>
  </si>
  <si>
    <t>ਪਸਵਾਲ</t>
  </si>
  <si>
    <t>Fattu Barkat</t>
  </si>
  <si>
    <t>ਫੱਤੂ ਬਰਕਤ</t>
  </si>
  <si>
    <t>Noon</t>
  </si>
  <si>
    <t>ਨੂੰਨ</t>
  </si>
  <si>
    <t>Munnan, Ghulla Thatha</t>
  </si>
  <si>
    <t>ਮੁੰਨਣ, ਘੁੱਲਾ ਥਾਥਾ</t>
  </si>
  <si>
    <t>Phulrha</t>
  </si>
  <si>
    <t>ਫੁੱਲੜਾ</t>
  </si>
  <si>
    <t>TOTAL</t>
  </si>
  <si>
    <t>223 Booths</t>
  </si>
  <si>
    <t>Constituency Total</t>
  </si>
  <si>
    <t>AAP Summary</t>
  </si>
  <si>
    <t>Bajwa Won</t>
  </si>
  <si>
    <t>Randhawa Won</t>
  </si>
  <si>
    <t>INC Status Category</t>
  </si>
  <si>
    <t>2022 INC Votes</t>
  </si>
  <si>
    <t>2022 INC %</t>
  </si>
  <si>
    <t>2024 INC Votes</t>
  </si>
  <si>
    <t>2024 INC %</t>
  </si>
  <si>
    <t>Lost in 2024 (to AAP)</t>
  </si>
  <si>
    <t>INC Summary</t>
  </si>
  <si>
    <t>AAP (AAM AADMI PARTY) - STRATEGIC BOOTH CLUSTERS</t>
  </si>
  <si>
    <t>Breakdown of Strongholds, Flipped Gains, At-Risk Losses, and Weak Booths</t>
  </si>
  <si>
    <t>Category</t>
  </si>
  <si>
    <t>Booth Count</t>
  </si>
  <si>
    <t>Strategic Takeaway</t>
  </si>
  <si>
    <t>Won Both Times (Strongholds)</t>
  </si>
  <si>
    <t>Consistently held in 2022 &amp; 2024</t>
  </si>
  <si>
    <t>Gained in 2024 (Flipped in favor)</t>
  </si>
  <si>
    <t>Won in 2024, previously held by INC or SAD</t>
  </si>
  <si>
    <t>Lost in 2024 (Flipped away)</t>
  </si>
  <si>
    <t>Won in 2022, lost to INC/BJP in 2024</t>
  </si>
  <si>
    <t>Weak Booths (&lt; 20% Vote Share)</t>
  </si>
  <si>
    <t>Critically low support base in 2024</t>
  </si>
  <si>
    <t>Opponent bastions in both elections</t>
  </si>
  <si>
    <t>Top 15 AAP Strongholds (Highest Votes in 2024)</t>
  </si>
  <si>
    <t>Village (English)</t>
  </si>
  <si>
    <t>Village (Punjabi)</t>
  </si>
  <si>
    <t>2024 AAP Share %</t>
  </si>
  <si>
    <t>2022 Result</t>
  </si>
  <si>
    <t>85.89%</t>
  </si>
  <si>
    <t>+622 lead</t>
  </si>
  <si>
    <t>INC (+228)</t>
  </si>
  <si>
    <t>60.44%</t>
  </si>
  <si>
    <t>+225 lead</t>
  </si>
  <si>
    <t>SAD (+200)</t>
  </si>
  <si>
    <t>56.01%</t>
  </si>
  <si>
    <t>+159 lead</t>
  </si>
  <si>
    <t>INC (+50)</t>
  </si>
  <si>
    <t>55.05%</t>
  </si>
  <si>
    <t>+174 lead</t>
  </si>
  <si>
    <t>SAD (+50)</t>
  </si>
  <si>
    <t>45.51%</t>
  </si>
  <si>
    <t>+133 lead</t>
  </si>
  <si>
    <t>AAP (+48)</t>
  </si>
  <si>
    <t>44.4%</t>
  </si>
  <si>
    <t>+17 lead</t>
  </si>
  <si>
    <t>INC (+93)</t>
  </si>
  <si>
    <t>41.31%</t>
  </si>
  <si>
    <t>+37 lead</t>
  </si>
  <si>
    <t>INC (+223)</t>
  </si>
  <si>
    <t>39.34%</t>
  </si>
  <si>
    <t>+116 lead</t>
  </si>
  <si>
    <t>INC (+98)</t>
  </si>
  <si>
    <t>45.58%</t>
  </si>
  <si>
    <t>+97 lead</t>
  </si>
  <si>
    <t>INC (+33)</t>
  </si>
  <si>
    <t>37.05%</t>
  </si>
  <si>
    <t>+26 lead</t>
  </si>
  <si>
    <t>44.2%</t>
  </si>
  <si>
    <t>+56 lead</t>
  </si>
  <si>
    <t>INC (+199)</t>
  </si>
  <si>
    <t>41.94%</t>
  </si>
  <si>
    <t>+66 lead</t>
  </si>
  <si>
    <t>INC (+66)</t>
  </si>
  <si>
    <t>41.74%</t>
  </si>
  <si>
    <t>+24 lead</t>
  </si>
  <si>
    <t>INC (+38)</t>
  </si>
  <si>
    <t>48.85%</t>
  </si>
  <si>
    <t>+139 lead</t>
  </si>
  <si>
    <t>INC (+176)</t>
  </si>
  <si>
    <t>42.52%</t>
  </si>
  <si>
    <t>SAD (+10)</t>
  </si>
  <si>
    <t>Top 15 Weakest Booths for AAP in 2024 (&lt; 20% Vote Share)</t>
  </si>
  <si>
    <t>Winner Margin</t>
  </si>
  <si>
    <t>7.6%</t>
  </si>
  <si>
    <t>-294 deficit</t>
  </si>
  <si>
    <t>8.85%</t>
  </si>
  <si>
    <t>-227 deficit</t>
  </si>
  <si>
    <t>10.06%</t>
  </si>
  <si>
    <t>-288 deficit</t>
  </si>
  <si>
    <t>10.36%</t>
  </si>
  <si>
    <t>-50 deficit</t>
  </si>
  <si>
    <t>11.29%</t>
  </si>
  <si>
    <t>-134 deficit</t>
  </si>
  <si>
    <t>12.28%</t>
  </si>
  <si>
    <t>-35 deficit</t>
  </si>
  <si>
    <t>12.34%</t>
  </si>
  <si>
    <t>-48 deficit</t>
  </si>
  <si>
    <t>13.17%</t>
  </si>
  <si>
    <t>-33 deficit</t>
  </si>
  <si>
    <t>14.15%</t>
  </si>
  <si>
    <t>-60 deficit</t>
  </si>
  <si>
    <t>14.66%</t>
  </si>
  <si>
    <t>-101 deficit</t>
  </si>
  <si>
    <t>14.91%</t>
  </si>
  <si>
    <t>-167 deficit</t>
  </si>
  <si>
    <t>14.98%</t>
  </si>
  <si>
    <t>-176 deficit</t>
  </si>
  <si>
    <t>15.9%</t>
  </si>
  <si>
    <t>-262 deficit</t>
  </si>
  <si>
    <t>16.14%</t>
  </si>
  <si>
    <t>-191 deficit</t>
  </si>
  <si>
    <t>16.64%</t>
  </si>
  <si>
    <t>-70 deficit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</si>
</sst>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+0.0%;\-0.0%;0.0%"/>
  </numFmts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color rgb="FF1B4F72"/>
      <name val="Calibri"/>
    </font>
    <font>
      <b/>
      <sz val="10"/>
      <name val="Calibri"/>
    </font>
    <font>
      <b/>
      <sz val="10"/>
      <color rgb="FF276A3C"/>
      <name val="Calibri"/>
    </font>
    <font>
      <sz val="10"/>
      <color rgb="FF595959"/>
      <name val="Calibri"/>
    </font>
    <font>
      <b/>
      <sz val="10"/>
      <color rgb="FF9C6500"/>
      <name val="Calibri"/>
    </font>
    <font>
      <b/>
      <sz val="10"/>
      <color rgb="FF9C0006"/>
      <name val="Calibri"/>
    </font>
    <font>
      <b/>
      <sz val="14"/>
      <color rgb="FF1F4E79"/>
      <name val="Calibri"/>
    </font>
    <font>
      <i/>
      <sz val="10"/>
      <color rgb="FF595959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B28900"/>
        <bgColor rgb="FFB28900"/>
      </patternFill>
    </fill>
    <fill>
      <patternFill patternType="solid">
        <fgColor rgb="FFF9FAFB"/>
        <bgColor rgb="FFF9FAFB"/>
      </patternFill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E7E6E6"/>
        <bgColor rgb="FFE7E6E6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0F766E"/>
        <bgColor rgb="FF0F766E"/>
      </patternFill>
    </fill>
    <fill>
      <patternFill patternType="solid">
        <fgColor rgb="FFD1FAE5"/>
        <bgColor rgb="FFD1FAE5"/>
      </patternFill>
    </fill>
    <fill>
      <patternFill patternType="solid">
        <fgColor rgb="FF1F4E79"/>
        <bgColor rgb="FF1F4E79"/>
      </patternFill>
    </fill>
    <fill>
      <patternFill patternType="solid">
        <fgColor rgb="FF9C0006"/>
        <bgColor rgb="FF9C000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E79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  <xf numFmtId="164" fontId="2" fillId="3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right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3" fontId="2" fillId="0" borderId="2" xfId="0" applyNumberFormat="1" applyFont="1" applyBorder="1" applyAlignment="1">
      <alignment horizontal="right" vertical="center"/>
    </xf>
    <xf numFmtId="164" fontId="2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right" vertical="center"/>
    </xf>
    <xf numFmtId="0" fontId="6" fillId="6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center" vertical="center"/>
    </xf>
    <xf numFmtId="3" fontId="4" fillId="9" borderId="3" xfId="0" applyNumberFormat="1" applyFont="1" applyFill="1" applyBorder="1" applyAlignment="1">
      <alignment horizontal="right" vertical="center"/>
    </xf>
    <xf numFmtId="164" fontId="4" fillId="9" borderId="3" xfId="0" applyNumberFormat="1" applyFont="1" applyFill="1" applyBorder="1" applyAlignment="1">
      <alignment horizontal="right" vertical="center"/>
    </xf>
    <xf numFmtId="165" fontId="4" fillId="9" borderId="3" xfId="0" applyNumberFormat="1" applyFont="1" applyFill="1" applyBorder="1" applyAlignment="1">
      <alignment horizontal="right" vertical="center"/>
    </xf>
    <xf numFmtId="0" fontId="1" fillId="10" borderId="1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3" fontId="4" fillId="11" borderId="3" xfId="0" applyNumberFormat="1" applyFont="1" applyFill="1" applyBorder="1" applyAlignment="1">
      <alignment horizontal="right" vertical="center"/>
    </xf>
    <xf numFmtId="164" fontId="4" fillId="11" borderId="3" xfId="0" applyNumberFormat="1" applyFont="1" applyFill="1" applyBorder="1" applyAlignment="1">
      <alignment horizontal="right" vertical="center"/>
    </xf>
    <xf numFmtId="165" fontId="4" fillId="11" borderId="3" xfId="0" applyNumberFormat="1" applyFont="1" applyFill="1" applyBorder="1" applyAlignment="1">
      <alignment horizontal="right" vertical="center"/>
    </xf>
    <xf numFmtId="0" fontId="9" fillId="0" borderId="0" xfId="0" applyFont="1"/>
    <xf numFmtId="0" fontId="10" fillId="0" borderId="0" xfId="0" applyFont="1"/>
    <xf numFmtId="0" fontId="1" fillId="2" borderId="2" xfId="0" applyFont="1" applyFill="1" applyBorder="1" applyAlignment="1">
      <alignment horizontal="center" vertical="center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3" fillId="4" borderId="2" xfId="0" applyFont="1" applyFill="1" applyBorder="1"/>
    <xf numFmtId="0" fontId="3" fillId="4" borderId="2" xfId="0" applyFont="1" applyFill="1" applyBorder="1" applyAlignment="1">
      <alignment horizontal="center" vertical="center"/>
    </xf>
    <xf numFmtId="0" fontId="8" fillId="8" borderId="2" xfId="0" applyFont="1" applyFill="1" applyBorder="1"/>
    <xf numFmtId="0" fontId="8" fillId="8" borderId="2" xfId="0" applyFont="1" applyFill="1" applyBorder="1" applyAlignment="1">
      <alignment horizontal="center" vertical="center"/>
    </xf>
    <xf numFmtId="0" fontId="7" fillId="7" borderId="2" xfId="0" applyFont="1" applyFill="1" applyBorder="1"/>
    <xf numFmtId="0" fontId="7" fillId="7" borderId="2" xfId="0" applyFont="1" applyFill="1" applyBorder="1" applyAlignment="1">
      <alignment horizontal="center" vertical="center"/>
    </xf>
    <xf numFmtId="0" fontId="6" fillId="6" borderId="2" xfId="0" applyFont="1" applyFill="1" applyBorder="1"/>
    <xf numFmtId="0" fontId="6" fillId="6" borderId="2" xfId="0" applyFont="1" applyFill="1" applyBorder="1" applyAlignment="1">
      <alignment horizontal="center" vertical="center"/>
    </xf>
    <xf numFmtId="0" fontId="4" fillId="0" borderId="0" xfId="0" applyFont="1"/>
    <xf numFmtId="0" fontId="1" fillId="1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25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3" width="30" customWidth="1"/>
    <col min="4" max="4" width="28" customWidth="1"/>
    <col min="5" max="5" width="17" customWidth="1"/>
    <col min="6" max="6" width="21" customWidth="1"/>
    <col min="7" max="7" width="14" customWidth="1"/>
    <col min="8" max="8" width="17" customWidth="1"/>
    <col min="9" max="9" width="21" customWidth="1"/>
    <col min="10" max="10" width="15" customWidth="1"/>
    <col min="11" max="12" width="14" customWidth="1"/>
    <col min="13" max="13" width="16" customWidth="1"/>
    <col min="14" max="14" width="20" customWidth="1"/>
  </cols>
  <sheetData>
    <row r="1" spans="1:14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9.95" customHeight="1" x14ac:dyDescent="0.3">
      <c r="A2" s="2">
        <v>1</v>
      </c>
      <c r="B2" s="3" t="s">
        <v>14</v>
      </c>
      <c r="C2" s="3" t="s">
        <v>15</v>
      </c>
      <c r="D2" s="4" t="s">
        <v>16</v>
      </c>
      <c r="E2" s="5">
        <v>188</v>
      </c>
      <c r="F2" s="6">
        <f>188/537</f>
        <v>0.3500931098696462</v>
      </c>
      <c r="G2" s="7" t="s">
        <v>17</v>
      </c>
      <c r="H2" s="5">
        <v>272</v>
      </c>
      <c r="I2" s="6">
        <f>272/505</f>
        <v>0.53861386138613865</v>
      </c>
      <c r="J2" s="7" t="s">
        <v>18</v>
      </c>
      <c r="K2" s="5">
        <v>84</v>
      </c>
      <c r="L2" s="8">
        <f t="shared" ref="L2:L65" si="0">I2-F2</f>
        <v>0.18852075151649245</v>
      </c>
      <c r="M2" s="5">
        <v>171</v>
      </c>
      <c r="N2" s="5">
        <v>505</v>
      </c>
    </row>
    <row r="3" spans="1:14" ht="19.95" customHeight="1" x14ac:dyDescent="0.3">
      <c r="A3" s="9">
        <v>2</v>
      </c>
      <c r="B3" s="10" t="s">
        <v>19</v>
      </c>
      <c r="C3" s="10" t="s">
        <v>20</v>
      </c>
      <c r="D3" s="11" t="s">
        <v>21</v>
      </c>
      <c r="E3" s="12">
        <v>311</v>
      </c>
      <c r="F3" s="13">
        <f>311/622</f>
        <v>0.5</v>
      </c>
      <c r="G3" s="14" t="s">
        <v>18</v>
      </c>
      <c r="H3" s="12">
        <v>276</v>
      </c>
      <c r="I3" s="13">
        <f>276/618</f>
        <v>0.44660194174757284</v>
      </c>
      <c r="J3" s="14" t="s">
        <v>18</v>
      </c>
      <c r="K3" s="12">
        <v>-35</v>
      </c>
      <c r="L3" s="15">
        <f t="shared" si="0"/>
        <v>-5.3398058252427161E-2</v>
      </c>
      <c r="M3" s="12">
        <v>107</v>
      </c>
      <c r="N3" s="12">
        <v>618</v>
      </c>
    </row>
    <row r="4" spans="1:14" ht="19.95" customHeight="1" x14ac:dyDescent="0.3">
      <c r="A4" s="2">
        <v>3</v>
      </c>
      <c r="B4" s="3" t="s">
        <v>22</v>
      </c>
      <c r="C4" s="3" t="s">
        <v>23</v>
      </c>
      <c r="D4" s="4" t="s">
        <v>16</v>
      </c>
      <c r="E4" s="5">
        <v>165</v>
      </c>
      <c r="F4" s="6">
        <f>165/478</f>
        <v>0.34518828451882844</v>
      </c>
      <c r="G4" s="7" t="s">
        <v>17</v>
      </c>
      <c r="H4" s="5">
        <v>178</v>
      </c>
      <c r="I4" s="6">
        <f>178/425</f>
        <v>0.41882352941176471</v>
      </c>
      <c r="J4" s="7" t="s">
        <v>18</v>
      </c>
      <c r="K4" s="5">
        <v>13</v>
      </c>
      <c r="L4" s="8">
        <f t="shared" si="0"/>
        <v>7.3635244892936269E-2</v>
      </c>
      <c r="M4" s="5">
        <v>43</v>
      </c>
      <c r="N4" s="5">
        <v>425</v>
      </c>
    </row>
    <row r="5" spans="1:14" ht="19.95" customHeight="1" x14ac:dyDescent="0.3">
      <c r="A5" s="9">
        <v>4</v>
      </c>
      <c r="B5" s="10" t="s">
        <v>22</v>
      </c>
      <c r="C5" s="10" t="s">
        <v>23</v>
      </c>
      <c r="D5" s="4" t="s">
        <v>16</v>
      </c>
      <c r="E5" s="12">
        <v>119</v>
      </c>
      <c r="F5" s="13">
        <f>119/458</f>
        <v>0.25982532751091703</v>
      </c>
      <c r="G5" s="14" t="s">
        <v>17</v>
      </c>
      <c r="H5" s="12">
        <v>179</v>
      </c>
      <c r="I5" s="13">
        <f>179/397</f>
        <v>0.45088161209068012</v>
      </c>
      <c r="J5" s="14" t="s">
        <v>18</v>
      </c>
      <c r="K5" s="12">
        <v>60</v>
      </c>
      <c r="L5" s="15">
        <f t="shared" si="0"/>
        <v>0.19105628457976309</v>
      </c>
      <c r="M5" s="12">
        <v>13</v>
      </c>
      <c r="N5" s="12">
        <v>397</v>
      </c>
    </row>
    <row r="6" spans="1:14" ht="19.95" customHeight="1" x14ac:dyDescent="0.3">
      <c r="A6" s="2">
        <v>5</v>
      </c>
      <c r="B6" s="3" t="s">
        <v>24</v>
      </c>
      <c r="C6" s="3" t="s">
        <v>25</v>
      </c>
      <c r="D6" s="11" t="s">
        <v>21</v>
      </c>
      <c r="E6" s="5">
        <v>251</v>
      </c>
      <c r="F6" s="6">
        <f>251/625</f>
        <v>0.40160000000000001</v>
      </c>
      <c r="G6" s="7" t="s">
        <v>18</v>
      </c>
      <c r="H6" s="5">
        <v>212</v>
      </c>
      <c r="I6" s="6">
        <f>212/589</f>
        <v>0.35993208828522921</v>
      </c>
      <c r="J6" s="7" t="s">
        <v>18</v>
      </c>
      <c r="K6" s="5">
        <v>-39</v>
      </c>
      <c r="L6" s="8">
        <f t="shared" si="0"/>
        <v>-4.16679117147708E-2</v>
      </c>
      <c r="M6" s="5">
        <v>18</v>
      </c>
      <c r="N6" s="5">
        <v>589</v>
      </c>
    </row>
    <row r="7" spans="1:14" ht="19.95" customHeight="1" x14ac:dyDescent="0.3">
      <c r="A7" s="9">
        <v>6</v>
      </c>
      <c r="B7" s="10" t="s">
        <v>24</v>
      </c>
      <c r="C7" s="10" t="s">
        <v>25</v>
      </c>
      <c r="D7" s="16" t="s">
        <v>26</v>
      </c>
      <c r="E7" s="12">
        <v>219</v>
      </c>
      <c r="F7" s="13">
        <f>219/646</f>
        <v>0.33900928792569657</v>
      </c>
      <c r="G7" s="14" t="s">
        <v>27</v>
      </c>
      <c r="H7" s="12">
        <v>187</v>
      </c>
      <c r="I7" s="13">
        <f>187/562</f>
        <v>0.33274021352313166</v>
      </c>
      <c r="J7" s="14" t="s">
        <v>17</v>
      </c>
      <c r="K7" s="12">
        <v>-32</v>
      </c>
      <c r="L7" s="15">
        <f t="shared" si="0"/>
        <v>-6.2690744025649114E-3</v>
      </c>
      <c r="M7" s="12">
        <v>28</v>
      </c>
      <c r="N7" s="12">
        <v>562</v>
      </c>
    </row>
    <row r="8" spans="1:14" ht="19.95" customHeight="1" x14ac:dyDescent="0.3">
      <c r="A8" s="2">
        <v>7</v>
      </c>
      <c r="B8" s="3" t="s">
        <v>28</v>
      </c>
      <c r="C8" s="3" t="s">
        <v>29</v>
      </c>
      <c r="D8" s="16" t="s">
        <v>26</v>
      </c>
      <c r="E8" s="5">
        <v>211</v>
      </c>
      <c r="F8" s="6">
        <f>211/672</f>
        <v>0.31398809523809523</v>
      </c>
      <c r="G8" s="7" t="s">
        <v>27</v>
      </c>
      <c r="H8" s="5">
        <v>171</v>
      </c>
      <c r="I8" s="6">
        <f>171/626</f>
        <v>0.2731629392971246</v>
      </c>
      <c r="J8" s="7" t="s">
        <v>17</v>
      </c>
      <c r="K8" s="5">
        <v>-40</v>
      </c>
      <c r="L8" s="8">
        <f t="shared" si="0"/>
        <v>-4.0825155940970637E-2</v>
      </c>
      <c r="M8" s="5">
        <v>75</v>
      </c>
      <c r="N8" s="5">
        <v>626</v>
      </c>
    </row>
    <row r="9" spans="1:14" ht="19.95" customHeight="1" x14ac:dyDescent="0.3">
      <c r="A9" s="9">
        <v>8</v>
      </c>
      <c r="B9" s="10" t="s">
        <v>30</v>
      </c>
      <c r="C9" s="10" t="s">
        <v>31</v>
      </c>
      <c r="D9" s="16" t="s">
        <v>26</v>
      </c>
      <c r="E9" s="12">
        <v>147</v>
      </c>
      <c r="F9" s="13">
        <f>147/620</f>
        <v>0.23709677419354838</v>
      </c>
      <c r="G9" s="14" t="s">
        <v>17</v>
      </c>
      <c r="H9" s="12">
        <v>133</v>
      </c>
      <c r="I9" s="13">
        <f>133/534</f>
        <v>0.24906367041198502</v>
      </c>
      <c r="J9" s="14" t="s">
        <v>17</v>
      </c>
      <c r="K9" s="12">
        <v>-14</v>
      </c>
      <c r="L9" s="15">
        <f t="shared" si="0"/>
        <v>1.1966896218436635E-2</v>
      </c>
      <c r="M9" s="12">
        <v>147</v>
      </c>
      <c r="N9" s="12">
        <v>534</v>
      </c>
    </row>
    <row r="10" spans="1:14" ht="19.95" customHeight="1" x14ac:dyDescent="0.3">
      <c r="A10" s="2">
        <v>9</v>
      </c>
      <c r="B10" s="3" t="s">
        <v>32</v>
      </c>
      <c r="C10" s="3" t="s">
        <v>33</v>
      </c>
      <c r="D10" s="16" t="s">
        <v>26</v>
      </c>
      <c r="E10" s="5">
        <v>195</v>
      </c>
      <c r="F10" s="6">
        <f>195/589</f>
        <v>0.33106960950764008</v>
      </c>
      <c r="G10" s="7" t="s">
        <v>17</v>
      </c>
      <c r="H10" s="5">
        <v>152</v>
      </c>
      <c r="I10" s="6">
        <f>152/577</f>
        <v>0.2634315424610052</v>
      </c>
      <c r="J10" s="7" t="s">
        <v>17</v>
      </c>
      <c r="K10" s="5">
        <v>-43</v>
      </c>
      <c r="L10" s="8">
        <f t="shared" si="0"/>
        <v>-6.7638067046634887E-2</v>
      </c>
      <c r="M10" s="5">
        <v>93</v>
      </c>
      <c r="N10" s="5">
        <v>577</v>
      </c>
    </row>
    <row r="11" spans="1:14" ht="19.95" customHeight="1" x14ac:dyDescent="0.3">
      <c r="A11" s="9">
        <v>10</v>
      </c>
      <c r="B11" s="10" t="s">
        <v>32</v>
      </c>
      <c r="C11" s="10" t="s">
        <v>33</v>
      </c>
      <c r="D11" s="4" t="s">
        <v>16</v>
      </c>
      <c r="E11" s="12">
        <v>229</v>
      </c>
      <c r="F11" s="13">
        <f>229/648</f>
        <v>0.35339506172839508</v>
      </c>
      <c r="G11" s="14" t="s">
        <v>17</v>
      </c>
      <c r="H11" s="12">
        <v>229</v>
      </c>
      <c r="I11" s="13">
        <f>229/562</f>
        <v>0.40747330960854095</v>
      </c>
      <c r="J11" s="14" t="s">
        <v>18</v>
      </c>
      <c r="K11" s="12">
        <v>0</v>
      </c>
      <c r="L11" s="15">
        <f t="shared" si="0"/>
        <v>5.4078247880145869E-2</v>
      </c>
      <c r="M11" s="12">
        <v>87</v>
      </c>
      <c r="N11" s="12">
        <v>562</v>
      </c>
    </row>
    <row r="12" spans="1:14" ht="19.95" customHeight="1" x14ac:dyDescent="0.3">
      <c r="A12" s="2">
        <v>11</v>
      </c>
      <c r="B12" s="3" t="s">
        <v>34</v>
      </c>
      <c r="C12" s="3" t="s">
        <v>35</v>
      </c>
      <c r="D12" s="17" t="s">
        <v>36</v>
      </c>
      <c r="E12" s="5">
        <v>144</v>
      </c>
      <c r="F12" s="6">
        <f>144/730</f>
        <v>0.19726027397260273</v>
      </c>
      <c r="G12" s="7" t="s">
        <v>17</v>
      </c>
      <c r="H12" s="5">
        <v>128</v>
      </c>
      <c r="I12" s="6">
        <f>128/720</f>
        <v>0.17777777777777778</v>
      </c>
      <c r="J12" s="7" t="s">
        <v>17</v>
      </c>
      <c r="K12" s="5">
        <v>-16</v>
      </c>
      <c r="L12" s="8">
        <f t="shared" si="0"/>
        <v>-1.948249619482495E-2</v>
      </c>
      <c r="M12" s="5">
        <v>381</v>
      </c>
      <c r="N12" s="5">
        <v>720</v>
      </c>
    </row>
    <row r="13" spans="1:14" ht="19.95" customHeight="1" x14ac:dyDescent="0.3">
      <c r="A13" s="9">
        <v>12</v>
      </c>
      <c r="B13" s="10" t="s">
        <v>37</v>
      </c>
      <c r="C13" s="10" t="s">
        <v>38</v>
      </c>
      <c r="D13" s="16" t="s">
        <v>26</v>
      </c>
      <c r="E13" s="12">
        <v>152</v>
      </c>
      <c r="F13" s="13">
        <f>152/418</f>
        <v>0.36363636363636365</v>
      </c>
      <c r="G13" s="14" t="s">
        <v>17</v>
      </c>
      <c r="H13" s="12">
        <v>97</v>
      </c>
      <c r="I13" s="13">
        <f>97/409</f>
        <v>0.23716381418092911</v>
      </c>
      <c r="J13" s="14" t="s">
        <v>17</v>
      </c>
      <c r="K13" s="12">
        <v>-55</v>
      </c>
      <c r="L13" s="15">
        <f t="shared" si="0"/>
        <v>-0.12647254945543454</v>
      </c>
      <c r="M13" s="12">
        <v>39</v>
      </c>
      <c r="N13" s="12">
        <v>409</v>
      </c>
    </row>
    <row r="14" spans="1:14" ht="19.95" customHeight="1" x14ac:dyDescent="0.3">
      <c r="A14" s="2">
        <v>13</v>
      </c>
      <c r="B14" s="3" t="s">
        <v>39</v>
      </c>
      <c r="C14" s="3" t="s">
        <v>40</v>
      </c>
      <c r="D14" s="11" t="s">
        <v>21</v>
      </c>
      <c r="E14" s="5">
        <v>283</v>
      </c>
      <c r="F14" s="6">
        <f>283/631</f>
        <v>0.44849445324881143</v>
      </c>
      <c r="G14" s="7" t="s">
        <v>18</v>
      </c>
      <c r="H14" s="5">
        <v>196</v>
      </c>
      <c r="I14" s="6">
        <f>196/604</f>
        <v>0.32450331125827814</v>
      </c>
      <c r="J14" s="7" t="s">
        <v>18</v>
      </c>
      <c r="K14" s="5">
        <v>-87</v>
      </c>
      <c r="L14" s="8">
        <f t="shared" si="0"/>
        <v>-0.12399114199053329</v>
      </c>
      <c r="M14" s="5">
        <v>54</v>
      </c>
      <c r="N14" s="5">
        <v>604</v>
      </c>
    </row>
    <row r="15" spans="1:14" ht="19.95" customHeight="1" x14ac:dyDescent="0.3">
      <c r="A15" s="9">
        <v>14</v>
      </c>
      <c r="B15" s="10" t="s">
        <v>41</v>
      </c>
      <c r="C15" s="10" t="s">
        <v>42</v>
      </c>
      <c r="D15" s="18" t="s">
        <v>43</v>
      </c>
      <c r="E15" s="12">
        <v>203</v>
      </c>
      <c r="F15" s="13">
        <f>203/491</f>
        <v>0.4134419551934827</v>
      </c>
      <c r="G15" s="14" t="s">
        <v>18</v>
      </c>
      <c r="H15" s="12">
        <v>117</v>
      </c>
      <c r="I15" s="13">
        <f>117/453</f>
        <v>0.25827814569536423</v>
      </c>
      <c r="J15" s="14" t="s">
        <v>17</v>
      </c>
      <c r="K15" s="12">
        <v>-86</v>
      </c>
      <c r="L15" s="15">
        <f t="shared" si="0"/>
        <v>-0.15516380949811848</v>
      </c>
      <c r="M15" s="12">
        <v>49</v>
      </c>
      <c r="N15" s="12">
        <v>453</v>
      </c>
    </row>
    <row r="16" spans="1:14" ht="19.95" customHeight="1" x14ac:dyDescent="0.3">
      <c r="A16" s="2">
        <v>15</v>
      </c>
      <c r="B16" s="3" t="s">
        <v>44</v>
      </c>
      <c r="C16" s="3" t="s">
        <v>45</v>
      </c>
      <c r="D16" s="11" t="s">
        <v>21</v>
      </c>
      <c r="E16" s="5">
        <v>238</v>
      </c>
      <c r="F16" s="6">
        <f>238/440</f>
        <v>0.54090909090909089</v>
      </c>
      <c r="G16" s="7" t="s">
        <v>18</v>
      </c>
      <c r="H16" s="5">
        <v>172</v>
      </c>
      <c r="I16" s="6">
        <f>172/426</f>
        <v>0.40375586854460094</v>
      </c>
      <c r="J16" s="7" t="s">
        <v>18</v>
      </c>
      <c r="K16" s="5">
        <v>-66</v>
      </c>
      <c r="L16" s="8">
        <f t="shared" si="0"/>
        <v>-0.13715322236448996</v>
      </c>
      <c r="M16" s="5">
        <v>12</v>
      </c>
      <c r="N16" s="5">
        <v>426</v>
      </c>
    </row>
    <row r="17" spans="1:14" ht="19.95" customHeight="1" x14ac:dyDescent="0.3">
      <c r="A17" s="9">
        <v>16</v>
      </c>
      <c r="B17" s="10" t="s">
        <v>46</v>
      </c>
      <c r="C17" s="10" t="s">
        <v>47</v>
      </c>
      <c r="D17" s="16" t="s">
        <v>26</v>
      </c>
      <c r="E17" s="12">
        <v>127</v>
      </c>
      <c r="F17" s="13">
        <f>127/598</f>
        <v>0.21237458193979933</v>
      </c>
      <c r="G17" s="14" t="s">
        <v>27</v>
      </c>
      <c r="H17" s="12">
        <v>146</v>
      </c>
      <c r="I17" s="13">
        <f>146/542</f>
        <v>0.26937269372693728</v>
      </c>
      <c r="J17" s="14" t="s">
        <v>17</v>
      </c>
      <c r="K17" s="12">
        <v>19</v>
      </c>
      <c r="L17" s="15">
        <f t="shared" si="0"/>
        <v>5.6998111787137956E-2</v>
      </c>
      <c r="M17" s="12">
        <v>82</v>
      </c>
      <c r="N17" s="12">
        <v>542</v>
      </c>
    </row>
    <row r="18" spans="1:14" ht="19.95" customHeight="1" x14ac:dyDescent="0.3">
      <c r="A18" s="2">
        <v>17</v>
      </c>
      <c r="B18" s="3" t="s">
        <v>46</v>
      </c>
      <c r="C18" s="3" t="s">
        <v>47</v>
      </c>
      <c r="D18" s="16" t="s">
        <v>26</v>
      </c>
      <c r="E18" s="5">
        <v>221</v>
      </c>
      <c r="F18" s="6">
        <f>221/737</f>
        <v>0.29986431478968795</v>
      </c>
      <c r="G18" s="7" t="s">
        <v>27</v>
      </c>
      <c r="H18" s="5">
        <v>180</v>
      </c>
      <c r="I18" s="6">
        <f>180/749</f>
        <v>0.24032042723631508</v>
      </c>
      <c r="J18" s="7" t="s">
        <v>17</v>
      </c>
      <c r="K18" s="5">
        <v>-41</v>
      </c>
      <c r="L18" s="8">
        <f t="shared" si="0"/>
        <v>-5.9543887553372865E-2</v>
      </c>
      <c r="M18" s="5">
        <v>117</v>
      </c>
      <c r="N18" s="5">
        <v>749</v>
      </c>
    </row>
    <row r="19" spans="1:14" ht="19.95" customHeight="1" x14ac:dyDescent="0.3">
      <c r="A19" s="9">
        <v>18</v>
      </c>
      <c r="B19" s="10" t="s">
        <v>48</v>
      </c>
      <c r="C19" s="10" t="s">
        <v>49</v>
      </c>
      <c r="D19" s="16" t="s">
        <v>26</v>
      </c>
      <c r="E19" s="12">
        <v>161</v>
      </c>
      <c r="F19" s="13">
        <f>161/649</f>
        <v>0.24807395993836673</v>
      </c>
      <c r="G19" s="14" t="s">
        <v>17</v>
      </c>
      <c r="H19" s="12">
        <v>217</v>
      </c>
      <c r="I19" s="13">
        <f>217/556</f>
        <v>0.39028776978417268</v>
      </c>
      <c r="J19" s="14" t="s">
        <v>17</v>
      </c>
      <c r="K19" s="12">
        <v>56</v>
      </c>
      <c r="L19" s="15">
        <f t="shared" si="0"/>
        <v>0.14221380984580595</v>
      </c>
      <c r="M19" s="12">
        <v>27</v>
      </c>
      <c r="N19" s="12">
        <v>556</v>
      </c>
    </row>
    <row r="20" spans="1:14" ht="19.95" customHeight="1" x14ac:dyDescent="0.3">
      <c r="A20" s="2">
        <v>19</v>
      </c>
      <c r="B20" s="3" t="s">
        <v>48</v>
      </c>
      <c r="C20" s="3" t="s">
        <v>49</v>
      </c>
      <c r="D20" s="18" t="s">
        <v>43</v>
      </c>
      <c r="E20" s="5">
        <v>288</v>
      </c>
      <c r="F20" s="6">
        <f>288/808</f>
        <v>0.35643564356435642</v>
      </c>
      <c r="G20" s="7" t="s">
        <v>18</v>
      </c>
      <c r="H20" s="5">
        <v>236</v>
      </c>
      <c r="I20" s="6">
        <f>236/676</f>
        <v>0.34911242603550297</v>
      </c>
      <c r="J20" s="7" t="s">
        <v>17</v>
      </c>
      <c r="K20" s="5">
        <v>-52</v>
      </c>
      <c r="L20" s="8">
        <f t="shared" si="0"/>
        <v>-7.323217528853454E-3</v>
      </c>
      <c r="M20" s="5">
        <v>59</v>
      </c>
      <c r="N20" s="5">
        <v>676</v>
      </c>
    </row>
    <row r="21" spans="1:14" ht="19.95" customHeight="1" x14ac:dyDescent="0.3">
      <c r="A21" s="9">
        <v>20</v>
      </c>
      <c r="B21" s="10" t="s">
        <v>48</v>
      </c>
      <c r="C21" s="10" t="s">
        <v>49</v>
      </c>
      <c r="D21" s="18" t="s">
        <v>43</v>
      </c>
      <c r="E21" s="12">
        <v>326</v>
      </c>
      <c r="F21" s="13">
        <f>326/612</f>
        <v>0.5326797385620915</v>
      </c>
      <c r="G21" s="14" t="s">
        <v>18</v>
      </c>
      <c r="H21" s="12">
        <v>172</v>
      </c>
      <c r="I21" s="13">
        <f>172/498</f>
        <v>0.34538152610441769</v>
      </c>
      <c r="J21" s="14" t="s">
        <v>17</v>
      </c>
      <c r="K21" s="12">
        <v>-154</v>
      </c>
      <c r="L21" s="15">
        <f t="shared" si="0"/>
        <v>-0.18729821245767381</v>
      </c>
      <c r="M21" s="12">
        <v>21</v>
      </c>
      <c r="N21" s="12">
        <v>498</v>
      </c>
    </row>
    <row r="22" spans="1:14" ht="19.95" customHeight="1" x14ac:dyDescent="0.3">
      <c r="A22" s="2">
        <v>21</v>
      </c>
      <c r="B22" s="3" t="s">
        <v>50</v>
      </c>
      <c r="C22" s="3" t="s">
        <v>51</v>
      </c>
      <c r="D22" s="16" t="s">
        <v>26</v>
      </c>
      <c r="E22" s="5">
        <v>106</v>
      </c>
      <c r="F22" s="6">
        <f>106/381</f>
        <v>0.27821522309711288</v>
      </c>
      <c r="G22" s="7" t="s">
        <v>17</v>
      </c>
      <c r="H22" s="5">
        <v>81</v>
      </c>
      <c r="I22" s="6">
        <f>81/349</f>
        <v>0.23209169054441262</v>
      </c>
      <c r="J22" s="7" t="s">
        <v>17</v>
      </c>
      <c r="K22" s="5">
        <v>-25</v>
      </c>
      <c r="L22" s="8">
        <f t="shared" si="0"/>
        <v>-4.6123532552700269E-2</v>
      </c>
      <c r="M22" s="5">
        <v>89</v>
      </c>
      <c r="N22" s="5">
        <v>349</v>
      </c>
    </row>
    <row r="23" spans="1:14" ht="19.95" customHeight="1" x14ac:dyDescent="0.3">
      <c r="A23" s="9">
        <v>22</v>
      </c>
      <c r="B23" s="10" t="s">
        <v>52</v>
      </c>
      <c r="C23" s="10" t="s">
        <v>53</v>
      </c>
      <c r="D23" s="4" t="s">
        <v>16</v>
      </c>
      <c r="E23" s="12">
        <v>99</v>
      </c>
      <c r="F23" s="13">
        <f>99/353</f>
        <v>0.28045325779036828</v>
      </c>
      <c r="G23" s="14" t="s">
        <v>17</v>
      </c>
      <c r="H23" s="12">
        <v>181</v>
      </c>
      <c r="I23" s="13">
        <f>181/327</f>
        <v>0.55351681957186549</v>
      </c>
      <c r="J23" s="14" t="s">
        <v>18</v>
      </c>
      <c r="K23" s="12">
        <v>82</v>
      </c>
      <c r="L23" s="15">
        <f t="shared" si="0"/>
        <v>0.27306356178149721</v>
      </c>
      <c r="M23" s="12">
        <v>97</v>
      </c>
      <c r="N23" s="12">
        <v>327</v>
      </c>
    </row>
    <row r="24" spans="1:14" ht="19.95" customHeight="1" x14ac:dyDescent="0.3">
      <c r="A24" s="2">
        <v>23</v>
      </c>
      <c r="B24" s="3" t="s">
        <v>54</v>
      </c>
      <c r="C24" s="3" t="s">
        <v>55</v>
      </c>
      <c r="D24" s="18" t="s">
        <v>43</v>
      </c>
      <c r="E24" s="5">
        <v>399</v>
      </c>
      <c r="F24" s="6">
        <f>399/856</f>
        <v>0.46612149532710279</v>
      </c>
      <c r="G24" s="7" t="s">
        <v>18</v>
      </c>
      <c r="H24" s="5">
        <v>172</v>
      </c>
      <c r="I24" s="6">
        <f>172/738</f>
        <v>0.23306233062330622</v>
      </c>
      <c r="J24" s="7" t="s">
        <v>17</v>
      </c>
      <c r="K24" s="5">
        <v>-227</v>
      </c>
      <c r="L24" s="8">
        <f t="shared" si="0"/>
        <v>-0.23305916470379656</v>
      </c>
      <c r="M24" s="5">
        <v>160</v>
      </c>
      <c r="N24" s="5">
        <v>738</v>
      </c>
    </row>
    <row r="25" spans="1:14" ht="19.95" customHeight="1" x14ac:dyDescent="0.3">
      <c r="A25" s="9">
        <v>24</v>
      </c>
      <c r="B25" s="10" t="s">
        <v>54</v>
      </c>
      <c r="C25" s="10" t="s">
        <v>55</v>
      </c>
      <c r="D25" s="18" t="s">
        <v>43</v>
      </c>
      <c r="E25" s="12">
        <v>327</v>
      </c>
      <c r="F25" s="13">
        <f>327/772</f>
        <v>0.42357512953367876</v>
      </c>
      <c r="G25" s="14" t="s">
        <v>18</v>
      </c>
      <c r="H25" s="12">
        <v>121</v>
      </c>
      <c r="I25" s="13">
        <f>121/627</f>
        <v>0.19298245614035087</v>
      </c>
      <c r="J25" s="14" t="s">
        <v>17</v>
      </c>
      <c r="K25" s="12">
        <v>-206</v>
      </c>
      <c r="L25" s="15">
        <f t="shared" si="0"/>
        <v>-0.2305926733933279</v>
      </c>
      <c r="M25" s="12">
        <v>83</v>
      </c>
      <c r="N25" s="12">
        <v>627</v>
      </c>
    </row>
    <row r="26" spans="1:14" ht="19.95" customHeight="1" x14ac:dyDescent="0.3">
      <c r="A26" s="2">
        <v>25</v>
      </c>
      <c r="B26" s="3" t="s">
        <v>54</v>
      </c>
      <c r="C26" s="3" t="s">
        <v>55</v>
      </c>
      <c r="D26" s="18" t="s">
        <v>43</v>
      </c>
      <c r="E26" s="5">
        <v>239</v>
      </c>
      <c r="F26" s="6">
        <f>239/729</f>
        <v>0.32784636488340191</v>
      </c>
      <c r="G26" s="7" t="s">
        <v>18</v>
      </c>
      <c r="H26" s="5">
        <v>150</v>
      </c>
      <c r="I26" s="6">
        <f>150/648</f>
        <v>0.23148148148148148</v>
      </c>
      <c r="J26" s="7" t="s">
        <v>17</v>
      </c>
      <c r="K26" s="5">
        <v>-89</v>
      </c>
      <c r="L26" s="8">
        <f t="shared" si="0"/>
        <v>-9.6364883401920426E-2</v>
      </c>
      <c r="M26" s="5">
        <v>119</v>
      </c>
      <c r="N26" s="5">
        <v>648</v>
      </c>
    </row>
    <row r="27" spans="1:14" ht="19.95" customHeight="1" x14ac:dyDescent="0.3">
      <c r="A27" s="9">
        <v>26</v>
      </c>
      <c r="B27" s="10" t="s">
        <v>54</v>
      </c>
      <c r="C27" s="10" t="s">
        <v>55</v>
      </c>
      <c r="D27" s="18" t="s">
        <v>43</v>
      </c>
      <c r="E27" s="12">
        <v>241</v>
      </c>
      <c r="F27" s="13">
        <f>241/677</f>
        <v>0.35598227474150662</v>
      </c>
      <c r="G27" s="14" t="s">
        <v>18</v>
      </c>
      <c r="H27" s="12">
        <v>126</v>
      </c>
      <c r="I27" s="13">
        <f>126/565</f>
        <v>0.22300884955752212</v>
      </c>
      <c r="J27" s="14" t="s">
        <v>17</v>
      </c>
      <c r="K27" s="12">
        <v>-115</v>
      </c>
      <c r="L27" s="15">
        <f t="shared" si="0"/>
        <v>-0.1329734251839845</v>
      </c>
      <c r="M27" s="12">
        <v>109</v>
      </c>
      <c r="N27" s="12">
        <v>565</v>
      </c>
    </row>
    <row r="28" spans="1:14" ht="19.95" customHeight="1" x14ac:dyDescent="0.3">
      <c r="A28" s="2">
        <v>27</v>
      </c>
      <c r="B28" s="3" t="s">
        <v>56</v>
      </c>
      <c r="C28" s="3" t="s">
        <v>57</v>
      </c>
      <c r="D28" s="11" t="s">
        <v>21</v>
      </c>
      <c r="E28" s="5">
        <v>146</v>
      </c>
      <c r="F28" s="6">
        <f>146/368</f>
        <v>0.39673913043478259</v>
      </c>
      <c r="G28" s="7" t="s">
        <v>18</v>
      </c>
      <c r="H28" s="5">
        <v>122</v>
      </c>
      <c r="I28" s="6">
        <f>122/335</f>
        <v>0.36417910447761193</v>
      </c>
      <c r="J28" s="7" t="s">
        <v>18</v>
      </c>
      <c r="K28" s="5">
        <v>-24</v>
      </c>
      <c r="L28" s="8">
        <f t="shared" si="0"/>
        <v>-3.2560025957170668E-2</v>
      </c>
      <c r="M28" s="5">
        <v>12</v>
      </c>
      <c r="N28" s="5">
        <v>335</v>
      </c>
    </row>
    <row r="29" spans="1:14" ht="19.95" customHeight="1" x14ac:dyDescent="0.3">
      <c r="A29" s="9">
        <v>28</v>
      </c>
      <c r="B29" s="10" t="s">
        <v>58</v>
      </c>
      <c r="C29" s="10" t="s">
        <v>59</v>
      </c>
      <c r="D29" s="11" t="s">
        <v>21</v>
      </c>
      <c r="E29" s="12">
        <v>194</v>
      </c>
      <c r="F29" s="13">
        <f>194/362</f>
        <v>0.53591160220994472</v>
      </c>
      <c r="G29" s="14" t="s">
        <v>18</v>
      </c>
      <c r="H29" s="12">
        <v>203</v>
      </c>
      <c r="I29" s="13">
        <f>203/362</f>
        <v>0.56077348066298338</v>
      </c>
      <c r="J29" s="14" t="s">
        <v>18</v>
      </c>
      <c r="K29" s="12">
        <v>9</v>
      </c>
      <c r="L29" s="15">
        <f t="shared" si="0"/>
        <v>2.4861878453038666E-2</v>
      </c>
      <c r="M29" s="12">
        <v>63</v>
      </c>
      <c r="N29" s="12">
        <v>362</v>
      </c>
    </row>
    <row r="30" spans="1:14" ht="19.95" customHeight="1" x14ac:dyDescent="0.3">
      <c r="A30" s="2">
        <v>29</v>
      </c>
      <c r="B30" s="3" t="s">
        <v>60</v>
      </c>
      <c r="C30" s="3" t="s">
        <v>61</v>
      </c>
      <c r="D30" s="16" t="s">
        <v>26</v>
      </c>
      <c r="E30" s="5">
        <v>283</v>
      </c>
      <c r="F30" s="6">
        <f>283/778</f>
        <v>0.36375321336760924</v>
      </c>
      <c r="G30" s="7" t="s">
        <v>17</v>
      </c>
      <c r="H30" s="5">
        <v>251</v>
      </c>
      <c r="I30" s="6">
        <f>251/732</f>
        <v>0.34289617486338797</v>
      </c>
      <c r="J30" s="7" t="s">
        <v>17</v>
      </c>
      <c r="K30" s="5">
        <v>-32</v>
      </c>
      <c r="L30" s="8">
        <f t="shared" si="0"/>
        <v>-2.085703850422127E-2</v>
      </c>
      <c r="M30" s="5">
        <v>65</v>
      </c>
      <c r="N30" s="5">
        <v>732</v>
      </c>
    </row>
    <row r="31" spans="1:14" ht="19.95" customHeight="1" x14ac:dyDescent="0.3">
      <c r="A31" s="9">
        <v>30</v>
      </c>
      <c r="B31" s="10" t="s">
        <v>62</v>
      </c>
      <c r="C31" s="10" t="s">
        <v>63</v>
      </c>
      <c r="D31" s="18" t="s">
        <v>43</v>
      </c>
      <c r="E31" s="12">
        <v>224</v>
      </c>
      <c r="F31" s="13">
        <f>224/570</f>
        <v>0.39298245614035088</v>
      </c>
      <c r="G31" s="14" t="s">
        <v>18</v>
      </c>
      <c r="H31" s="12">
        <v>170</v>
      </c>
      <c r="I31" s="13">
        <f>170/560</f>
        <v>0.30357142857142855</v>
      </c>
      <c r="J31" s="14" t="s">
        <v>17</v>
      </c>
      <c r="K31" s="12">
        <v>-54</v>
      </c>
      <c r="L31" s="15">
        <f t="shared" si="0"/>
        <v>-8.941102756892233E-2</v>
      </c>
      <c r="M31" s="12">
        <v>121</v>
      </c>
      <c r="N31" s="12">
        <v>560</v>
      </c>
    </row>
    <row r="32" spans="1:14" ht="19.95" customHeight="1" x14ac:dyDescent="0.3">
      <c r="A32" s="2">
        <v>31</v>
      </c>
      <c r="B32" s="3" t="s">
        <v>62</v>
      </c>
      <c r="C32" s="3" t="s">
        <v>64</v>
      </c>
      <c r="D32" s="16" t="s">
        <v>26</v>
      </c>
      <c r="E32" s="5">
        <v>170</v>
      </c>
      <c r="F32" s="6">
        <f>170/541</f>
        <v>0.3142329020332717</v>
      </c>
      <c r="G32" s="7" t="s">
        <v>27</v>
      </c>
      <c r="H32" s="5">
        <v>179</v>
      </c>
      <c r="I32" s="6">
        <f>179/537</f>
        <v>0.33333333333333331</v>
      </c>
      <c r="J32" s="7" t="s">
        <v>17</v>
      </c>
      <c r="K32" s="5">
        <v>9</v>
      </c>
      <c r="L32" s="8">
        <f t="shared" si="0"/>
        <v>1.9100431300061615E-2</v>
      </c>
      <c r="M32" s="5">
        <v>78</v>
      </c>
      <c r="N32" s="5">
        <v>537</v>
      </c>
    </row>
    <row r="33" spans="1:14" ht="19.95" customHeight="1" x14ac:dyDescent="0.3">
      <c r="A33" s="9">
        <v>32</v>
      </c>
      <c r="B33" s="10" t="s">
        <v>62</v>
      </c>
      <c r="C33" s="10" t="s">
        <v>64</v>
      </c>
      <c r="D33" s="18" t="s">
        <v>43</v>
      </c>
      <c r="E33" s="12">
        <v>321</v>
      </c>
      <c r="F33" s="13">
        <f>321/725</f>
        <v>0.44275862068965516</v>
      </c>
      <c r="G33" s="14" t="s">
        <v>18</v>
      </c>
      <c r="H33" s="12">
        <v>246</v>
      </c>
      <c r="I33" s="13">
        <f>246/713</f>
        <v>0.34502103786816268</v>
      </c>
      <c r="J33" s="14" t="s">
        <v>17</v>
      </c>
      <c r="K33" s="12">
        <v>-75</v>
      </c>
      <c r="L33" s="15">
        <f t="shared" si="0"/>
        <v>-9.7737582821492475E-2</v>
      </c>
      <c r="M33" s="12">
        <v>60</v>
      </c>
      <c r="N33" s="12">
        <v>713</v>
      </c>
    </row>
    <row r="34" spans="1:14" ht="19.95" customHeight="1" x14ac:dyDescent="0.3">
      <c r="A34" s="2">
        <v>33</v>
      </c>
      <c r="B34" s="3" t="s">
        <v>52</v>
      </c>
      <c r="C34" s="3" t="s">
        <v>53</v>
      </c>
      <c r="D34" s="18" t="s">
        <v>65</v>
      </c>
      <c r="E34" s="5">
        <v>300</v>
      </c>
      <c r="F34" s="6">
        <f>300/774</f>
        <v>0.38759689922480622</v>
      </c>
      <c r="G34" s="7" t="s">
        <v>18</v>
      </c>
      <c r="H34" s="5">
        <v>175</v>
      </c>
      <c r="I34" s="6">
        <f>175/743</f>
        <v>0.23553162853297444</v>
      </c>
      <c r="J34" s="7" t="s">
        <v>66</v>
      </c>
      <c r="K34" s="5">
        <v>-125</v>
      </c>
      <c r="L34" s="8">
        <f t="shared" si="0"/>
        <v>-0.15206527069183179</v>
      </c>
      <c r="M34" s="5">
        <v>215</v>
      </c>
      <c r="N34" s="5">
        <v>743</v>
      </c>
    </row>
    <row r="35" spans="1:14" ht="19.95" customHeight="1" x14ac:dyDescent="0.3">
      <c r="A35" s="9">
        <v>34</v>
      </c>
      <c r="B35" s="10" t="s">
        <v>52</v>
      </c>
      <c r="C35" s="10" t="s">
        <v>53</v>
      </c>
      <c r="D35" s="18" t="s">
        <v>65</v>
      </c>
      <c r="E35" s="12">
        <v>328</v>
      </c>
      <c r="F35" s="13">
        <f>328/756</f>
        <v>0.43386243386243384</v>
      </c>
      <c r="G35" s="14" t="s">
        <v>18</v>
      </c>
      <c r="H35" s="12">
        <v>205</v>
      </c>
      <c r="I35" s="13">
        <f>205/750</f>
        <v>0.27333333333333332</v>
      </c>
      <c r="J35" s="14" t="s">
        <v>66</v>
      </c>
      <c r="K35" s="12">
        <v>-123</v>
      </c>
      <c r="L35" s="15">
        <f t="shared" si="0"/>
        <v>-0.16052910052910052</v>
      </c>
      <c r="M35" s="12">
        <v>195</v>
      </c>
      <c r="N35" s="12">
        <v>750</v>
      </c>
    </row>
    <row r="36" spans="1:14" ht="19.95" customHeight="1" x14ac:dyDescent="0.3">
      <c r="A36" s="2">
        <v>35</v>
      </c>
      <c r="B36" s="3" t="s">
        <v>52</v>
      </c>
      <c r="C36" s="3" t="s">
        <v>53</v>
      </c>
      <c r="D36" s="18" t="s">
        <v>65</v>
      </c>
      <c r="E36" s="5">
        <v>253</v>
      </c>
      <c r="F36" s="6">
        <f>253/640</f>
        <v>0.39531250000000001</v>
      </c>
      <c r="G36" s="7" t="s">
        <v>18</v>
      </c>
      <c r="H36" s="5">
        <v>157</v>
      </c>
      <c r="I36" s="6">
        <f>157/576</f>
        <v>0.27256944444444442</v>
      </c>
      <c r="J36" s="7" t="s">
        <v>66</v>
      </c>
      <c r="K36" s="5">
        <v>-96</v>
      </c>
      <c r="L36" s="8">
        <f t="shared" si="0"/>
        <v>-0.12274305555555559</v>
      </c>
      <c r="M36" s="5">
        <v>80</v>
      </c>
      <c r="N36" s="5">
        <v>576</v>
      </c>
    </row>
    <row r="37" spans="1:14" ht="19.95" customHeight="1" x14ac:dyDescent="0.3">
      <c r="A37" s="9">
        <v>36</v>
      </c>
      <c r="B37" s="10" t="s">
        <v>52</v>
      </c>
      <c r="C37" s="10" t="s">
        <v>53</v>
      </c>
      <c r="D37" s="16" t="s">
        <v>26</v>
      </c>
      <c r="E37" s="12">
        <v>142</v>
      </c>
      <c r="F37" s="13">
        <f>142/420</f>
        <v>0.33809523809523812</v>
      </c>
      <c r="G37" s="14" t="s">
        <v>17</v>
      </c>
      <c r="H37" s="12">
        <v>97</v>
      </c>
      <c r="I37" s="13">
        <f>97/398</f>
        <v>0.24371859296482412</v>
      </c>
      <c r="J37" s="14" t="s">
        <v>66</v>
      </c>
      <c r="K37" s="12">
        <v>-45</v>
      </c>
      <c r="L37" s="15">
        <f t="shared" si="0"/>
        <v>-9.4376645130413994E-2</v>
      </c>
      <c r="M37" s="12">
        <v>96</v>
      </c>
      <c r="N37" s="12">
        <v>398</v>
      </c>
    </row>
    <row r="38" spans="1:14" ht="19.95" customHeight="1" x14ac:dyDescent="0.3">
      <c r="A38" s="2">
        <v>37</v>
      </c>
      <c r="B38" s="3" t="s">
        <v>52</v>
      </c>
      <c r="C38" s="3" t="s">
        <v>53</v>
      </c>
      <c r="D38" s="18" t="s">
        <v>65</v>
      </c>
      <c r="E38" s="5">
        <v>247</v>
      </c>
      <c r="F38" s="6">
        <f>247/599</f>
        <v>0.41235392320534225</v>
      </c>
      <c r="G38" s="7" t="s">
        <v>18</v>
      </c>
      <c r="H38" s="5">
        <v>94</v>
      </c>
      <c r="I38" s="6">
        <f>94/547</f>
        <v>0.17184643510054845</v>
      </c>
      <c r="J38" s="7" t="s">
        <v>66</v>
      </c>
      <c r="K38" s="5">
        <v>-153</v>
      </c>
      <c r="L38" s="8">
        <f t="shared" si="0"/>
        <v>-0.2405074881047938</v>
      </c>
      <c r="M38" s="5">
        <v>233</v>
      </c>
      <c r="N38" s="5">
        <v>547</v>
      </c>
    </row>
    <row r="39" spans="1:14" ht="19.95" customHeight="1" x14ac:dyDescent="0.3">
      <c r="A39" s="9">
        <v>38</v>
      </c>
      <c r="B39" s="10" t="s">
        <v>52</v>
      </c>
      <c r="C39" s="10" t="s">
        <v>53</v>
      </c>
      <c r="D39" s="4" t="s">
        <v>16</v>
      </c>
      <c r="E39" s="12">
        <v>228</v>
      </c>
      <c r="F39" s="13">
        <f>228/654</f>
        <v>0.34862385321100919</v>
      </c>
      <c r="G39" s="14" t="s">
        <v>17</v>
      </c>
      <c r="H39" s="12">
        <v>255</v>
      </c>
      <c r="I39" s="13">
        <f>255/569</f>
        <v>0.44815465729349735</v>
      </c>
      <c r="J39" s="14" t="s">
        <v>18</v>
      </c>
      <c r="K39" s="12">
        <v>27</v>
      </c>
      <c r="L39" s="15">
        <f t="shared" si="0"/>
        <v>9.9530804082488156E-2</v>
      </c>
      <c r="M39" s="12">
        <v>88</v>
      </c>
      <c r="N39" s="12">
        <v>569</v>
      </c>
    </row>
    <row r="40" spans="1:14" ht="19.95" customHeight="1" x14ac:dyDescent="0.3">
      <c r="A40" s="2">
        <v>39</v>
      </c>
      <c r="B40" s="3" t="s">
        <v>52</v>
      </c>
      <c r="C40" s="3" t="s">
        <v>53</v>
      </c>
      <c r="D40" s="18" t="s">
        <v>43</v>
      </c>
      <c r="E40" s="5">
        <v>64</v>
      </c>
      <c r="F40" s="6">
        <f>64/203</f>
        <v>0.31527093596059114</v>
      </c>
      <c r="G40" s="7" t="s">
        <v>18</v>
      </c>
      <c r="H40" s="5">
        <v>29</v>
      </c>
      <c r="I40" s="6">
        <f>29/205</f>
        <v>0.14146341463414633</v>
      </c>
      <c r="J40" s="7" t="s">
        <v>17</v>
      </c>
      <c r="K40" s="5">
        <v>-35</v>
      </c>
      <c r="L40" s="8">
        <f t="shared" si="0"/>
        <v>-0.17380752132644481</v>
      </c>
      <c r="M40" s="5">
        <v>60</v>
      </c>
      <c r="N40" s="5">
        <v>205</v>
      </c>
    </row>
    <row r="41" spans="1:14" ht="19.95" customHeight="1" x14ac:dyDescent="0.3">
      <c r="A41" s="9">
        <v>40</v>
      </c>
      <c r="B41" s="10" t="s">
        <v>52</v>
      </c>
      <c r="C41" s="10" t="s">
        <v>53</v>
      </c>
      <c r="D41" s="18" t="s">
        <v>43</v>
      </c>
      <c r="E41" s="12">
        <v>127</v>
      </c>
      <c r="F41" s="13">
        <f>127/322</f>
        <v>0.39440993788819878</v>
      </c>
      <c r="G41" s="14" t="s">
        <v>18</v>
      </c>
      <c r="H41" s="12">
        <v>60</v>
      </c>
      <c r="I41" s="13">
        <f>60/277</f>
        <v>0.21660649819494585</v>
      </c>
      <c r="J41" s="14" t="s">
        <v>17</v>
      </c>
      <c r="K41" s="12">
        <v>-67</v>
      </c>
      <c r="L41" s="15">
        <f t="shared" si="0"/>
        <v>-0.17780343969325293</v>
      </c>
      <c r="M41" s="12">
        <v>103</v>
      </c>
      <c r="N41" s="12">
        <v>277</v>
      </c>
    </row>
    <row r="42" spans="1:14" ht="19.95" customHeight="1" x14ac:dyDescent="0.3">
      <c r="A42" s="2">
        <v>41</v>
      </c>
      <c r="B42" s="3" t="s">
        <v>52</v>
      </c>
      <c r="C42" s="3" t="s">
        <v>53</v>
      </c>
      <c r="D42" s="4" t="s">
        <v>16</v>
      </c>
      <c r="E42" s="5">
        <v>139</v>
      </c>
      <c r="F42" s="6">
        <f>139/539</f>
        <v>0.25788497217068646</v>
      </c>
      <c r="G42" s="7" t="s">
        <v>27</v>
      </c>
      <c r="H42" s="5">
        <v>181</v>
      </c>
      <c r="I42" s="6">
        <f>181/446</f>
        <v>0.40582959641255606</v>
      </c>
      <c r="J42" s="7" t="s">
        <v>18</v>
      </c>
      <c r="K42" s="5">
        <v>42</v>
      </c>
      <c r="L42" s="8">
        <f t="shared" si="0"/>
        <v>0.1479446242418696</v>
      </c>
      <c r="M42" s="5">
        <v>48</v>
      </c>
      <c r="N42" s="5">
        <v>446</v>
      </c>
    </row>
    <row r="43" spans="1:14" ht="19.95" customHeight="1" x14ac:dyDescent="0.3">
      <c r="A43" s="9">
        <v>42</v>
      </c>
      <c r="B43" s="10" t="s">
        <v>52</v>
      </c>
      <c r="C43" s="10" t="s">
        <v>53</v>
      </c>
      <c r="D43" s="16" t="s">
        <v>26</v>
      </c>
      <c r="E43" s="12">
        <v>213</v>
      </c>
      <c r="F43" s="13">
        <f>213/784</f>
        <v>0.27168367346938777</v>
      </c>
      <c r="G43" s="14" t="s">
        <v>27</v>
      </c>
      <c r="H43" s="12">
        <v>224</v>
      </c>
      <c r="I43" s="13">
        <f>224/716</f>
        <v>0.31284916201117319</v>
      </c>
      <c r="J43" s="14" t="s">
        <v>17</v>
      </c>
      <c r="K43" s="12">
        <v>11</v>
      </c>
      <c r="L43" s="15">
        <f t="shared" si="0"/>
        <v>4.1165488541785422E-2</v>
      </c>
      <c r="M43" s="12">
        <v>59</v>
      </c>
      <c r="N43" s="12">
        <v>716</v>
      </c>
    </row>
    <row r="44" spans="1:14" ht="19.95" customHeight="1" x14ac:dyDescent="0.3">
      <c r="A44" s="2">
        <v>43</v>
      </c>
      <c r="B44" s="3" t="s">
        <v>52</v>
      </c>
      <c r="C44" s="3" t="s">
        <v>53</v>
      </c>
      <c r="D44" s="18" t="s">
        <v>65</v>
      </c>
      <c r="E44" s="5">
        <v>216</v>
      </c>
      <c r="F44" s="6">
        <f>216/600</f>
        <v>0.36</v>
      </c>
      <c r="G44" s="7" t="s">
        <v>18</v>
      </c>
      <c r="H44" s="5">
        <v>115</v>
      </c>
      <c r="I44" s="6">
        <f>115/550</f>
        <v>0.20909090909090908</v>
      </c>
      <c r="J44" s="7" t="s">
        <v>66</v>
      </c>
      <c r="K44" s="5">
        <v>-101</v>
      </c>
      <c r="L44" s="8">
        <f t="shared" si="0"/>
        <v>-0.15090909090909091</v>
      </c>
      <c r="M44" s="5">
        <v>80</v>
      </c>
      <c r="N44" s="5">
        <v>550</v>
      </c>
    </row>
    <row r="45" spans="1:14" ht="19.95" customHeight="1" x14ac:dyDescent="0.3">
      <c r="A45" s="9">
        <v>44</v>
      </c>
      <c r="B45" s="10" t="s">
        <v>52</v>
      </c>
      <c r="C45" s="10" t="s">
        <v>53</v>
      </c>
      <c r="D45" s="18" t="s">
        <v>65</v>
      </c>
      <c r="E45" s="12">
        <v>164</v>
      </c>
      <c r="F45" s="13">
        <f>164/436</f>
        <v>0.37614678899082571</v>
      </c>
      <c r="G45" s="14" t="s">
        <v>18</v>
      </c>
      <c r="H45" s="12">
        <v>74</v>
      </c>
      <c r="I45" s="13">
        <f>74/424</f>
        <v>0.17452830188679244</v>
      </c>
      <c r="J45" s="14" t="s">
        <v>66</v>
      </c>
      <c r="K45" s="12">
        <v>-90</v>
      </c>
      <c r="L45" s="15">
        <f t="shared" si="0"/>
        <v>-0.20161848710403327</v>
      </c>
      <c r="M45" s="12">
        <v>165</v>
      </c>
      <c r="N45" s="12">
        <v>424</v>
      </c>
    </row>
    <row r="46" spans="1:14" ht="19.95" customHeight="1" x14ac:dyDescent="0.3">
      <c r="A46" s="2">
        <v>45</v>
      </c>
      <c r="B46" s="3" t="s">
        <v>52</v>
      </c>
      <c r="C46" s="3" t="s">
        <v>53</v>
      </c>
      <c r="D46" s="18" t="s">
        <v>65</v>
      </c>
      <c r="E46" s="5">
        <v>283</v>
      </c>
      <c r="F46" s="6">
        <f>283/745</f>
        <v>0.37986577181208053</v>
      </c>
      <c r="G46" s="7" t="s">
        <v>18</v>
      </c>
      <c r="H46" s="5">
        <v>144</v>
      </c>
      <c r="I46" s="6">
        <f>144/770</f>
        <v>0.18701298701298702</v>
      </c>
      <c r="J46" s="7" t="s">
        <v>66</v>
      </c>
      <c r="K46" s="5">
        <v>-139</v>
      </c>
      <c r="L46" s="8">
        <f t="shared" si="0"/>
        <v>-0.19285278479909351</v>
      </c>
      <c r="M46" s="5">
        <v>159</v>
      </c>
      <c r="N46" s="5">
        <v>770</v>
      </c>
    </row>
    <row r="47" spans="1:14" ht="19.95" customHeight="1" x14ac:dyDescent="0.3">
      <c r="A47" s="9">
        <v>46</v>
      </c>
      <c r="B47" s="10" t="s">
        <v>52</v>
      </c>
      <c r="C47" s="10" t="s">
        <v>53</v>
      </c>
      <c r="D47" s="4" t="s">
        <v>16</v>
      </c>
      <c r="E47" s="12">
        <v>130</v>
      </c>
      <c r="F47" s="13">
        <f>130/535</f>
        <v>0.24299065420560748</v>
      </c>
      <c r="G47" s="14" t="s">
        <v>27</v>
      </c>
      <c r="H47" s="12">
        <v>194</v>
      </c>
      <c r="I47" s="13">
        <f>194/472</f>
        <v>0.41101694915254239</v>
      </c>
      <c r="J47" s="14" t="s">
        <v>18</v>
      </c>
      <c r="K47" s="12">
        <v>64</v>
      </c>
      <c r="L47" s="15">
        <f t="shared" si="0"/>
        <v>0.16802629494693491</v>
      </c>
      <c r="M47" s="12">
        <v>77</v>
      </c>
      <c r="N47" s="12">
        <v>472</v>
      </c>
    </row>
    <row r="48" spans="1:14" ht="19.95" customHeight="1" x14ac:dyDescent="0.3">
      <c r="A48" s="2">
        <v>47</v>
      </c>
      <c r="B48" s="3" t="s">
        <v>52</v>
      </c>
      <c r="C48" s="3" t="s">
        <v>53</v>
      </c>
      <c r="D48" s="18" t="s">
        <v>43</v>
      </c>
      <c r="E48" s="5">
        <v>303</v>
      </c>
      <c r="F48" s="6">
        <f>303/743</f>
        <v>0.40780619111709288</v>
      </c>
      <c r="G48" s="7" t="s">
        <v>18</v>
      </c>
      <c r="H48" s="5">
        <v>202</v>
      </c>
      <c r="I48" s="6">
        <f>202/754</f>
        <v>0.26790450928381965</v>
      </c>
      <c r="J48" s="7" t="s">
        <v>17</v>
      </c>
      <c r="K48" s="5">
        <v>-101</v>
      </c>
      <c r="L48" s="8">
        <f t="shared" si="0"/>
        <v>-0.13990168183327323</v>
      </c>
      <c r="M48" s="5">
        <v>36</v>
      </c>
      <c r="N48" s="5">
        <v>754</v>
      </c>
    </row>
    <row r="49" spans="1:14" ht="19.95" customHeight="1" x14ac:dyDescent="0.3">
      <c r="A49" s="9">
        <v>48</v>
      </c>
      <c r="B49" s="10" t="s">
        <v>67</v>
      </c>
      <c r="C49" s="10" t="s">
        <v>68</v>
      </c>
      <c r="D49" s="4" t="s">
        <v>16</v>
      </c>
      <c r="E49" s="12">
        <v>215</v>
      </c>
      <c r="F49" s="13">
        <f>215/807</f>
        <v>0.26641883519206938</v>
      </c>
      <c r="G49" s="14" t="s">
        <v>17</v>
      </c>
      <c r="H49" s="12">
        <v>305</v>
      </c>
      <c r="I49" s="13">
        <f>305/690</f>
        <v>0.4420289855072464</v>
      </c>
      <c r="J49" s="14" t="s">
        <v>18</v>
      </c>
      <c r="K49" s="12">
        <v>90</v>
      </c>
      <c r="L49" s="15">
        <f t="shared" si="0"/>
        <v>0.17561015031517702</v>
      </c>
      <c r="M49" s="12">
        <v>56</v>
      </c>
      <c r="N49" s="12">
        <v>690</v>
      </c>
    </row>
    <row r="50" spans="1:14" ht="19.95" customHeight="1" x14ac:dyDescent="0.3">
      <c r="A50" s="2">
        <v>49</v>
      </c>
      <c r="B50" s="3" t="s">
        <v>67</v>
      </c>
      <c r="C50" s="3" t="s">
        <v>68</v>
      </c>
      <c r="D50" s="16" t="s">
        <v>26</v>
      </c>
      <c r="E50" s="5">
        <v>147</v>
      </c>
      <c r="F50" s="6">
        <f>147/761</f>
        <v>0.19316688567674112</v>
      </c>
      <c r="G50" s="7" t="s">
        <v>17</v>
      </c>
      <c r="H50" s="5">
        <v>229</v>
      </c>
      <c r="I50" s="6">
        <f>229/645</f>
        <v>0.35503875968992249</v>
      </c>
      <c r="J50" s="7" t="s">
        <v>17</v>
      </c>
      <c r="K50" s="5">
        <v>82</v>
      </c>
      <c r="L50" s="8">
        <f t="shared" si="0"/>
        <v>0.16187187401318137</v>
      </c>
      <c r="M50" s="5">
        <v>7</v>
      </c>
      <c r="N50" s="5">
        <v>645</v>
      </c>
    </row>
    <row r="51" spans="1:14" ht="19.95" customHeight="1" x14ac:dyDescent="0.3">
      <c r="A51" s="9">
        <v>50</v>
      </c>
      <c r="B51" s="10" t="s">
        <v>69</v>
      </c>
      <c r="C51" s="10" t="s">
        <v>70</v>
      </c>
      <c r="D51" s="4" t="s">
        <v>16</v>
      </c>
      <c r="E51" s="12">
        <v>161</v>
      </c>
      <c r="F51" s="13">
        <f>161/656</f>
        <v>0.24542682926829268</v>
      </c>
      <c r="G51" s="14" t="s">
        <v>17</v>
      </c>
      <c r="H51" s="12">
        <v>297</v>
      </c>
      <c r="I51" s="13">
        <f>297/608</f>
        <v>0.48848684210526316</v>
      </c>
      <c r="J51" s="14" t="s">
        <v>18</v>
      </c>
      <c r="K51" s="12">
        <v>136</v>
      </c>
      <c r="L51" s="15">
        <f t="shared" si="0"/>
        <v>0.24306001283697048</v>
      </c>
      <c r="M51" s="12">
        <v>139</v>
      </c>
      <c r="N51" s="12">
        <v>608</v>
      </c>
    </row>
    <row r="52" spans="1:14" ht="19.95" customHeight="1" x14ac:dyDescent="0.3">
      <c r="A52" s="2">
        <v>51</v>
      </c>
      <c r="B52" s="3" t="s">
        <v>69</v>
      </c>
      <c r="C52" s="3" t="s">
        <v>70</v>
      </c>
      <c r="D52" s="4" t="s">
        <v>16</v>
      </c>
      <c r="E52" s="5">
        <v>100</v>
      </c>
      <c r="F52" s="6">
        <f>100/586</f>
        <v>0.17064846416382254</v>
      </c>
      <c r="G52" s="7" t="s">
        <v>17</v>
      </c>
      <c r="H52" s="5">
        <v>270</v>
      </c>
      <c r="I52" s="6">
        <f>270/560</f>
        <v>0.48214285714285715</v>
      </c>
      <c r="J52" s="7" t="s">
        <v>18</v>
      </c>
      <c r="K52" s="5">
        <v>170</v>
      </c>
      <c r="L52" s="8">
        <f t="shared" si="0"/>
        <v>0.31149439297903458</v>
      </c>
      <c r="M52" s="5">
        <v>112</v>
      </c>
      <c r="N52" s="5">
        <v>560</v>
      </c>
    </row>
    <row r="53" spans="1:14" ht="19.95" customHeight="1" x14ac:dyDescent="0.3">
      <c r="A53" s="9">
        <v>52</v>
      </c>
      <c r="B53" s="10" t="s">
        <v>71</v>
      </c>
      <c r="C53" s="10" t="s">
        <v>72</v>
      </c>
      <c r="D53" s="18" t="s">
        <v>73</v>
      </c>
      <c r="E53" s="12">
        <v>459</v>
      </c>
      <c r="F53" s="13">
        <f>459/774</f>
        <v>0.59302325581395354</v>
      </c>
      <c r="G53" s="14" t="s">
        <v>18</v>
      </c>
      <c r="H53" s="12">
        <v>231</v>
      </c>
      <c r="I53" s="13">
        <f>231/745</f>
        <v>0.31006711409395971</v>
      </c>
      <c r="J53" s="14" t="s">
        <v>27</v>
      </c>
      <c r="K53" s="12">
        <v>-228</v>
      </c>
      <c r="L53" s="15">
        <f t="shared" si="0"/>
        <v>-0.28295614171999384</v>
      </c>
      <c r="M53" s="12">
        <v>29</v>
      </c>
      <c r="N53" s="12">
        <v>745</v>
      </c>
    </row>
    <row r="54" spans="1:14" ht="19.95" customHeight="1" x14ac:dyDescent="0.3">
      <c r="A54" s="2">
        <v>53</v>
      </c>
      <c r="B54" s="3" t="s">
        <v>74</v>
      </c>
      <c r="C54" s="3" t="s">
        <v>75</v>
      </c>
      <c r="D54" s="4" t="s">
        <v>16</v>
      </c>
      <c r="E54" s="5">
        <v>167</v>
      </c>
      <c r="F54" s="6">
        <f>167/801</f>
        <v>0.20848938826466917</v>
      </c>
      <c r="G54" s="7" t="s">
        <v>17</v>
      </c>
      <c r="H54" s="5">
        <v>325</v>
      </c>
      <c r="I54" s="6">
        <f>325/732</f>
        <v>0.44398907103825136</v>
      </c>
      <c r="J54" s="7" t="s">
        <v>18</v>
      </c>
      <c r="K54" s="5">
        <v>158</v>
      </c>
      <c r="L54" s="8">
        <f t="shared" si="0"/>
        <v>0.23549968277358219</v>
      </c>
      <c r="M54" s="5">
        <v>17</v>
      </c>
      <c r="N54" s="5">
        <v>732</v>
      </c>
    </row>
    <row r="55" spans="1:14" ht="19.95" customHeight="1" x14ac:dyDescent="0.3">
      <c r="A55" s="9">
        <v>54</v>
      </c>
      <c r="B55" s="10" t="s">
        <v>74</v>
      </c>
      <c r="C55" s="10" t="s">
        <v>75</v>
      </c>
      <c r="D55" s="4" t="s">
        <v>16</v>
      </c>
      <c r="E55" s="12">
        <v>236</v>
      </c>
      <c r="F55" s="13">
        <f>236/857</f>
        <v>0.27537922987164526</v>
      </c>
      <c r="G55" s="14" t="s">
        <v>17</v>
      </c>
      <c r="H55" s="12">
        <v>299</v>
      </c>
      <c r="I55" s="13">
        <f>299/713</f>
        <v>0.41935483870967744</v>
      </c>
      <c r="J55" s="14" t="s">
        <v>18</v>
      </c>
      <c r="K55" s="12">
        <v>63</v>
      </c>
      <c r="L55" s="15">
        <f t="shared" si="0"/>
        <v>0.14397560883803218</v>
      </c>
      <c r="M55" s="12">
        <v>66</v>
      </c>
      <c r="N55" s="12">
        <v>713</v>
      </c>
    </row>
    <row r="56" spans="1:14" ht="19.95" customHeight="1" x14ac:dyDescent="0.3">
      <c r="A56" s="2">
        <v>55</v>
      </c>
      <c r="B56" s="3" t="s">
        <v>76</v>
      </c>
      <c r="C56" s="3" t="s">
        <v>77</v>
      </c>
      <c r="D56" s="18" t="s">
        <v>43</v>
      </c>
      <c r="E56" s="5">
        <v>258</v>
      </c>
      <c r="F56" s="6">
        <f>258/729</f>
        <v>0.35390946502057613</v>
      </c>
      <c r="G56" s="7" t="s">
        <v>18</v>
      </c>
      <c r="H56" s="5">
        <v>200</v>
      </c>
      <c r="I56" s="6">
        <f>200/663</f>
        <v>0.30165912518853694</v>
      </c>
      <c r="J56" s="7" t="s">
        <v>17</v>
      </c>
      <c r="K56" s="5">
        <v>-58</v>
      </c>
      <c r="L56" s="8">
        <f t="shared" si="0"/>
        <v>-5.2250339832039194E-2</v>
      </c>
      <c r="M56" s="5">
        <v>42</v>
      </c>
      <c r="N56" s="5">
        <v>663</v>
      </c>
    </row>
    <row r="57" spans="1:14" ht="19.95" customHeight="1" x14ac:dyDescent="0.3">
      <c r="A57" s="9">
        <v>56</v>
      </c>
      <c r="B57" s="10" t="s">
        <v>76</v>
      </c>
      <c r="C57" s="10" t="s">
        <v>77</v>
      </c>
      <c r="D57" s="16" t="s">
        <v>26</v>
      </c>
      <c r="E57" s="12">
        <v>91</v>
      </c>
      <c r="F57" s="13">
        <f>91/538</f>
        <v>0.16914498141263939</v>
      </c>
      <c r="G57" s="14" t="s">
        <v>27</v>
      </c>
      <c r="H57" s="12">
        <v>154</v>
      </c>
      <c r="I57" s="13">
        <f>154/501</f>
        <v>0.30738522954091818</v>
      </c>
      <c r="J57" s="14" t="s">
        <v>17</v>
      </c>
      <c r="K57" s="12">
        <v>63</v>
      </c>
      <c r="L57" s="15">
        <f t="shared" si="0"/>
        <v>0.13824024812827879</v>
      </c>
      <c r="M57" s="12">
        <v>95</v>
      </c>
      <c r="N57" s="12">
        <v>501</v>
      </c>
    </row>
    <row r="58" spans="1:14" ht="19.95" customHeight="1" x14ac:dyDescent="0.3">
      <c r="A58" s="2">
        <v>57</v>
      </c>
      <c r="B58" s="3" t="s">
        <v>76</v>
      </c>
      <c r="C58" s="3" t="s">
        <v>77</v>
      </c>
      <c r="D58" s="16" t="s">
        <v>26</v>
      </c>
      <c r="E58" s="5">
        <v>98</v>
      </c>
      <c r="F58" s="6">
        <f>98/449</f>
        <v>0.21826280623608019</v>
      </c>
      <c r="G58" s="7" t="s">
        <v>17</v>
      </c>
      <c r="H58" s="5">
        <v>109</v>
      </c>
      <c r="I58" s="6">
        <f>109/415</f>
        <v>0.26265060240963856</v>
      </c>
      <c r="J58" s="7" t="s">
        <v>17</v>
      </c>
      <c r="K58" s="5">
        <v>11</v>
      </c>
      <c r="L58" s="8">
        <f t="shared" si="0"/>
        <v>4.4387796173558369E-2</v>
      </c>
      <c r="M58" s="5">
        <v>110</v>
      </c>
      <c r="N58" s="5">
        <v>415</v>
      </c>
    </row>
    <row r="59" spans="1:14" ht="19.95" customHeight="1" x14ac:dyDescent="0.3">
      <c r="A59" s="9">
        <v>58</v>
      </c>
      <c r="B59" s="10" t="s">
        <v>78</v>
      </c>
      <c r="C59" s="10" t="s">
        <v>79</v>
      </c>
      <c r="D59" s="4" t="s">
        <v>16</v>
      </c>
      <c r="E59" s="12">
        <v>198</v>
      </c>
      <c r="F59" s="13">
        <f>198/694</f>
        <v>0.28530259365994237</v>
      </c>
      <c r="G59" s="14" t="s">
        <v>17</v>
      </c>
      <c r="H59" s="12">
        <v>197</v>
      </c>
      <c r="I59" s="13">
        <f>197/638</f>
        <v>0.30877742946708464</v>
      </c>
      <c r="J59" s="14" t="s">
        <v>18</v>
      </c>
      <c r="K59" s="12">
        <v>-1</v>
      </c>
      <c r="L59" s="15">
        <f t="shared" si="0"/>
        <v>2.3474835807142269E-2</v>
      </c>
      <c r="M59" s="12">
        <v>4</v>
      </c>
      <c r="N59" s="12">
        <v>638</v>
      </c>
    </row>
    <row r="60" spans="1:14" ht="19.95" customHeight="1" x14ac:dyDescent="0.3">
      <c r="A60" s="2">
        <v>59</v>
      </c>
      <c r="B60" s="3" t="s">
        <v>80</v>
      </c>
      <c r="C60" s="3" t="s">
        <v>81</v>
      </c>
      <c r="D60" s="4" t="s">
        <v>16</v>
      </c>
      <c r="E60" s="5">
        <v>242</v>
      </c>
      <c r="F60" s="6">
        <f>242/751</f>
        <v>0.322237017310253</v>
      </c>
      <c r="G60" s="7" t="s">
        <v>27</v>
      </c>
      <c r="H60" s="5">
        <v>290</v>
      </c>
      <c r="I60" s="6">
        <f>290/682</f>
        <v>0.42521994134897362</v>
      </c>
      <c r="J60" s="7" t="s">
        <v>18</v>
      </c>
      <c r="K60" s="5">
        <v>48</v>
      </c>
      <c r="L60" s="8">
        <f t="shared" si="0"/>
        <v>0.10298292403872061</v>
      </c>
      <c r="M60" s="5">
        <v>24</v>
      </c>
      <c r="N60" s="5">
        <v>682</v>
      </c>
    </row>
    <row r="61" spans="1:14" ht="19.95" customHeight="1" x14ac:dyDescent="0.3">
      <c r="A61" s="9">
        <v>60</v>
      </c>
      <c r="B61" s="10" t="s">
        <v>80</v>
      </c>
      <c r="C61" s="10" t="s">
        <v>81</v>
      </c>
      <c r="D61" s="4" t="s">
        <v>16</v>
      </c>
      <c r="E61" s="12">
        <v>234</v>
      </c>
      <c r="F61" s="13">
        <f>234/703</f>
        <v>0.33285917496443812</v>
      </c>
      <c r="G61" s="14" t="s">
        <v>27</v>
      </c>
      <c r="H61" s="12">
        <v>287</v>
      </c>
      <c r="I61" s="13">
        <f>287/602</f>
        <v>0.47674418604651164</v>
      </c>
      <c r="J61" s="14" t="s">
        <v>18</v>
      </c>
      <c r="K61" s="12">
        <v>53</v>
      </c>
      <c r="L61" s="15">
        <f t="shared" si="0"/>
        <v>0.14388501108207352</v>
      </c>
      <c r="M61" s="12">
        <v>72</v>
      </c>
      <c r="N61" s="12">
        <v>602</v>
      </c>
    </row>
    <row r="62" spans="1:14" ht="19.95" customHeight="1" x14ac:dyDescent="0.3">
      <c r="A62" s="2">
        <v>61</v>
      </c>
      <c r="B62" s="3" t="s">
        <v>82</v>
      </c>
      <c r="C62" s="3" t="s">
        <v>83</v>
      </c>
      <c r="D62" s="4" t="s">
        <v>16</v>
      </c>
      <c r="E62" s="5">
        <v>162</v>
      </c>
      <c r="F62" s="6">
        <f>162/692</f>
        <v>0.23410404624277456</v>
      </c>
      <c r="G62" s="7" t="s">
        <v>27</v>
      </c>
      <c r="H62" s="5">
        <v>365</v>
      </c>
      <c r="I62" s="6">
        <f>365/663</f>
        <v>0.55052790346907998</v>
      </c>
      <c r="J62" s="7" t="s">
        <v>18</v>
      </c>
      <c r="K62" s="5">
        <v>203</v>
      </c>
      <c r="L62" s="8">
        <f t="shared" si="0"/>
        <v>0.31642385722630539</v>
      </c>
      <c r="M62" s="5">
        <v>174</v>
      </c>
      <c r="N62" s="5">
        <v>663</v>
      </c>
    </row>
    <row r="63" spans="1:14" ht="19.95" customHeight="1" x14ac:dyDescent="0.3">
      <c r="A63" s="9">
        <v>62</v>
      </c>
      <c r="B63" s="10" t="s">
        <v>84</v>
      </c>
      <c r="C63" s="10" t="s">
        <v>85</v>
      </c>
      <c r="D63" s="4" t="s">
        <v>16</v>
      </c>
      <c r="E63" s="12">
        <v>148</v>
      </c>
      <c r="F63" s="13">
        <f>148/561</f>
        <v>0.26381461675579321</v>
      </c>
      <c r="G63" s="14" t="s">
        <v>27</v>
      </c>
      <c r="H63" s="12">
        <v>195</v>
      </c>
      <c r="I63" s="13">
        <f>195/483</f>
        <v>0.40372670807453415</v>
      </c>
      <c r="J63" s="14" t="s">
        <v>18</v>
      </c>
      <c r="K63" s="12">
        <v>47</v>
      </c>
      <c r="L63" s="15">
        <f t="shared" si="0"/>
        <v>0.13991209131874094</v>
      </c>
      <c r="M63" s="12">
        <v>24</v>
      </c>
      <c r="N63" s="12">
        <v>483</v>
      </c>
    </row>
    <row r="64" spans="1:14" ht="19.95" customHeight="1" x14ac:dyDescent="0.3">
      <c r="A64" s="2">
        <v>63</v>
      </c>
      <c r="B64" s="3" t="s">
        <v>84</v>
      </c>
      <c r="C64" s="3" t="s">
        <v>85</v>
      </c>
      <c r="D64" s="16" t="s">
        <v>26</v>
      </c>
      <c r="E64" s="5">
        <v>182</v>
      </c>
      <c r="F64" s="6">
        <f>182/642</f>
        <v>0.2834890965732087</v>
      </c>
      <c r="G64" s="7" t="s">
        <v>17</v>
      </c>
      <c r="H64" s="5">
        <v>235</v>
      </c>
      <c r="I64" s="6">
        <f>235/604</f>
        <v>0.38907284768211919</v>
      </c>
      <c r="J64" s="7" t="s">
        <v>17</v>
      </c>
      <c r="K64" s="5">
        <v>53</v>
      </c>
      <c r="L64" s="8">
        <f t="shared" si="0"/>
        <v>0.1055837511089105</v>
      </c>
      <c r="M64" s="5">
        <v>28</v>
      </c>
      <c r="N64" s="5">
        <v>604</v>
      </c>
    </row>
    <row r="65" spans="1:14" ht="19.95" customHeight="1" x14ac:dyDescent="0.3">
      <c r="A65" s="9">
        <v>64</v>
      </c>
      <c r="B65" s="10" t="s">
        <v>84</v>
      </c>
      <c r="C65" s="10" t="s">
        <v>85</v>
      </c>
      <c r="D65" s="4" t="s">
        <v>16</v>
      </c>
      <c r="E65" s="12">
        <v>194</v>
      </c>
      <c r="F65" s="13">
        <f>194/717</f>
        <v>0.27057182705718269</v>
      </c>
      <c r="G65" s="14" t="s">
        <v>17</v>
      </c>
      <c r="H65" s="12">
        <v>247</v>
      </c>
      <c r="I65" s="13">
        <f>247/621</f>
        <v>0.39774557165861513</v>
      </c>
      <c r="J65" s="14" t="s">
        <v>18</v>
      </c>
      <c r="K65" s="12">
        <v>53</v>
      </c>
      <c r="L65" s="15">
        <f t="shared" si="0"/>
        <v>0.12717374460143244</v>
      </c>
      <c r="M65" s="12">
        <v>27</v>
      </c>
      <c r="N65" s="12">
        <v>621</v>
      </c>
    </row>
    <row r="66" spans="1:14" ht="19.95" customHeight="1" x14ac:dyDescent="0.3">
      <c r="A66" s="2">
        <v>65</v>
      </c>
      <c r="B66" s="3" t="s">
        <v>86</v>
      </c>
      <c r="C66" s="3" t="s">
        <v>87</v>
      </c>
      <c r="D66" s="4" t="s">
        <v>16</v>
      </c>
      <c r="E66" s="5">
        <v>123</v>
      </c>
      <c r="F66" s="6">
        <f>123/442</f>
        <v>0.27828054298642535</v>
      </c>
      <c r="G66" s="7" t="s">
        <v>27</v>
      </c>
      <c r="H66" s="5">
        <v>190</v>
      </c>
      <c r="I66" s="6">
        <f>190/406</f>
        <v>0.46798029556650245</v>
      </c>
      <c r="J66" s="7" t="s">
        <v>18</v>
      </c>
      <c r="K66" s="5">
        <v>67</v>
      </c>
      <c r="L66" s="8">
        <f t="shared" ref="L66:L129" si="1">I66-F66</f>
        <v>0.1896997525800771</v>
      </c>
      <c r="M66" s="5">
        <v>79</v>
      </c>
      <c r="N66" s="5">
        <v>406</v>
      </c>
    </row>
    <row r="67" spans="1:14" ht="19.95" customHeight="1" x14ac:dyDescent="0.3">
      <c r="A67" s="9">
        <v>66</v>
      </c>
      <c r="B67" s="10" t="s">
        <v>88</v>
      </c>
      <c r="C67" s="10" t="s">
        <v>89</v>
      </c>
      <c r="D67" s="4" t="s">
        <v>16</v>
      </c>
      <c r="E67" s="12">
        <v>194</v>
      </c>
      <c r="F67" s="13">
        <f>194/730</f>
        <v>0.26575342465753427</v>
      </c>
      <c r="G67" s="14" t="s">
        <v>27</v>
      </c>
      <c r="H67" s="12">
        <v>261</v>
      </c>
      <c r="I67" s="13">
        <f>261/620</f>
        <v>0.42096774193548386</v>
      </c>
      <c r="J67" s="14" t="s">
        <v>18</v>
      </c>
      <c r="K67" s="12">
        <v>67</v>
      </c>
      <c r="L67" s="15">
        <f t="shared" si="1"/>
        <v>0.1552143172779496</v>
      </c>
      <c r="M67" s="12">
        <v>97</v>
      </c>
      <c r="N67" s="12">
        <v>620</v>
      </c>
    </row>
    <row r="68" spans="1:14" ht="19.95" customHeight="1" x14ac:dyDescent="0.3">
      <c r="A68" s="2">
        <v>67</v>
      </c>
      <c r="B68" s="3" t="s">
        <v>88</v>
      </c>
      <c r="C68" s="3" t="s">
        <v>89</v>
      </c>
      <c r="D68" s="4" t="s">
        <v>16</v>
      </c>
      <c r="E68" s="5">
        <v>148</v>
      </c>
      <c r="F68" s="6">
        <f>148/679</f>
        <v>0.21796759941089838</v>
      </c>
      <c r="G68" s="7" t="s">
        <v>17</v>
      </c>
      <c r="H68" s="5">
        <v>212</v>
      </c>
      <c r="I68" s="6">
        <f>212/573</f>
        <v>0.36998254799301922</v>
      </c>
      <c r="J68" s="7" t="s">
        <v>18</v>
      </c>
      <c r="K68" s="5">
        <v>64</v>
      </c>
      <c r="L68" s="8">
        <f t="shared" si="1"/>
        <v>0.15201494858212083</v>
      </c>
      <c r="M68" s="5">
        <v>16</v>
      </c>
      <c r="N68" s="5">
        <v>573</v>
      </c>
    </row>
    <row r="69" spans="1:14" ht="19.95" customHeight="1" x14ac:dyDescent="0.3">
      <c r="A69" s="9">
        <v>68</v>
      </c>
      <c r="B69" s="10" t="s">
        <v>88</v>
      </c>
      <c r="C69" s="10" t="s">
        <v>89</v>
      </c>
      <c r="D69" s="16" t="s">
        <v>26</v>
      </c>
      <c r="E69" s="12">
        <v>210</v>
      </c>
      <c r="F69" s="13">
        <f>210/790</f>
        <v>0.26582278481012656</v>
      </c>
      <c r="G69" s="14" t="s">
        <v>27</v>
      </c>
      <c r="H69" s="12">
        <v>156</v>
      </c>
      <c r="I69" s="13">
        <f>156/570</f>
        <v>0.27368421052631581</v>
      </c>
      <c r="J69" s="14" t="s">
        <v>17</v>
      </c>
      <c r="K69" s="12">
        <v>-54</v>
      </c>
      <c r="L69" s="15">
        <f t="shared" si="1"/>
        <v>7.861425716189252E-3</v>
      </c>
      <c r="M69" s="12">
        <v>60</v>
      </c>
      <c r="N69" s="12">
        <v>570</v>
      </c>
    </row>
    <row r="70" spans="1:14" ht="19.95" customHeight="1" x14ac:dyDescent="0.3">
      <c r="A70" s="2">
        <v>69</v>
      </c>
      <c r="B70" s="3" t="s">
        <v>90</v>
      </c>
      <c r="C70" s="3" t="s">
        <v>91</v>
      </c>
      <c r="D70" s="16" t="s">
        <v>26</v>
      </c>
      <c r="E70" s="5">
        <v>177</v>
      </c>
      <c r="F70" s="6">
        <f>177/514</f>
        <v>0.3443579766536965</v>
      </c>
      <c r="G70" s="7" t="s">
        <v>17</v>
      </c>
      <c r="H70" s="5">
        <v>135</v>
      </c>
      <c r="I70" s="6">
        <f>135/483</f>
        <v>0.27950310559006208</v>
      </c>
      <c r="J70" s="7" t="s">
        <v>17</v>
      </c>
      <c r="K70" s="5">
        <v>-42</v>
      </c>
      <c r="L70" s="8">
        <f t="shared" si="1"/>
        <v>-6.4854871063634412E-2</v>
      </c>
      <c r="M70" s="5">
        <v>37</v>
      </c>
      <c r="N70" s="5">
        <v>483</v>
      </c>
    </row>
    <row r="71" spans="1:14" ht="19.95" customHeight="1" x14ac:dyDescent="0.3">
      <c r="A71" s="9">
        <v>70</v>
      </c>
      <c r="B71" s="10" t="s">
        <v>92</v>
      </c>
      <c r="C71" s="10" t="s">
        <v>93</v>
      </c>
      <c r="D71" s="16" t="s">
        <v>26</v>
      </c>
      <c r="E71" s="12">
        <v>184</v>
      </c>
      <c r="F71" s="13">
        <f>184/496</f>
        <v>0.37096774193548387</v>
      </c>
      <c r="G71" s="14" t="s">
        <v>17</v>
      </c>
      <c r="H71" s="12">
        <v>156</v>
      </c>
      <c r="I71" s="13">
        <f>156/438</f>
        <v>0.35616438356164382</v>
      </c>
      <c r="J71" s="14" t="s">
        <v>17</v>
      </c>
      <c r="K71" s="12">
        <v>-28</v>
      </c>
      <c r="L71" s="15">
        <f t="shared" si="1"/>
        <v>-1.4803358373840059E-2</v>
      </c>
      <c r="M71" s="12">
        <v>9</v>
      </c>
      <c r="N71" s="12">
        <v>438</v>
      </c>
    </row>
    <row r="72" spans="1:14" ht="19.95" customHeight="1" x14ac:dyDescent="0.3">
      <c r="A72" s="2">
        <v>71</v>
      </c>
      <c r="B72" s="3" t="s">
        <v>94</v>
      </c>
      <c r="C72" s="3" t="s">
        <v>95</v>
      </c>
      <c r="D72" s="17" t="s">
        <v>36</v>
      </c>
      <c r="E72" s="5">
        <v>256</v>
      </c>
      <c r="F72" s="6">
        <f>256/704</f>
        <v>0.36363636363636365</v>
      </c>
      <c r="G72" s="7" t="s">
        <v>17</v>
      </c>
      <c r="H72" s="5">
        <v>104</v>
      </c>
      <c r="I72" s="6">
        <f>104/625</f>
        <v>0.16639999999999999</v>
      </c>
      <c r="J72" s="7" t="s">
        <v>17</v>
      </c>
      <c r="K72" s="5">
        <v>-152</v>
      </c>
      <c r="L72" s="8">
        <f t="shared" si="1"/>
        <v>-0.19723636363636365</v>
      </c>
      <c r="M72" s="5">
        <v>70</v>
      </c>
      <c r="N72" s="5">
        <v>625</v>
      </c>
    </row>
    <row r="73" spans="1:14" ht="19.95" customHeight="1" x14ac:dyDescent="0.3">
      <c r="A73" s="9">
        <v>72</v>
      </c>
      <c r="B73" s="10" t="s">
        <v>94</v>
      </c>
      <c r="C73" s="10" t="s">
        <v>95</v>
      </c>
      <c r="D73" s="4" t="s">
        <v>16</v>
      </c>
      <c r="E73" s="12">
        <v>127</v>
      </c>
      <c r="F73" s="13">
        <f>127/371</f>
        <v>0.3423180592991914</v>
      </c>
      <c r="G73" s="14" t="s">
        <v>17</v>
      </c>
      <c r="H73" s="12">
        <v>123</v>
      </c>
      <c r="I73" s="13">
        <f>123/330</f>
        <v>0.37272727272727274</v>
      </c>
      <c r="J73" s="14" t="s">
        <v>18</v>
      </c>
      <c r="K73" s="12">
        <v>-4</v>
      </c>
      <c r="L73" s="15">
        <f t="shared" si="1"/>
        <v>3.0409213428081339E-2</v>
      </c>
      <c r="M73" s="12">
        <v>19</v>
      </c>
      <c r="N73" s="12">
        <v>330</v>
      </c>
    </row>
    <row r="74" spans="1:14" ht="19.95" customHeight="1" x14ac:dyDescent="0.3">
      <c r="A74" s="2">
        <v>73</v>
      </c>
      <c r="B74" s="3" t="s">
        <v>96</v>
      </c>
      <c r="C74" s="3" t="s">
        <v>97</v>
      </c>
      <c r="D74" s="11" t="s">
        <v>21</v>
      </c>
      <c r="E74" s="5">
        <v>364</v>
      </c>
      <c r="F74" s="6">
        <f>364/942</f>
        <v>0.386411889596603</v>
      </c>
      <c r="G74" s="7" t="s">
        <v>18</v>
      </c>
      <c r="H74" s="5">
        <v>360</v>
      </c>
      <c r="I74" s="6">
        <f>360/791</f>
        <v>0.45512010113780027</v>
      </c>
      <c r="J74" s="7" t="s">
        <v>18</v>
      </c>
      <c r="K74" s="5">
        <v>-4</v>
      </c>
      <c r="L74" s="8">
        <f t="shared" si="1"/>
        <v>6.8708211541197273E-2</v>
      </c>
      <c r="M74" s="5">
        <v>133</v>
      </c>
      <c r="N74" s="5">
        <v>791</v>
      </c>
    </row>
    <row r="75" spans="1:14" ht="19.95" customHeight="1" x14ac:dyDescent="0.3">
      <c r="A75" s="9">
        <v>74</v>
      </c>
      <c r="B75" s="10" t="s">
        <v>96</v>
      </c>
      <c r="C75" s="10" t="s">
        <v>97</v>
      </c>
      <c r="D75" s="11" t="s">
        <v>21</v>
      </c>
      <c r="E75" s="12">
        <v>322</v>
      </c>
      <c r="F75" s="13">
        <f>322/871</f>
        <v>0.36969001148105624</v>
      </c>
      <c r="G75" s="14" t="s">
        <v>18</v>
      </c>
      <c r="H75" s="12">
        <v>267</v>
      </c>
      <c r="I75" s="13">
        <f>267/731</f>
        <v>0.36525307797537621</v>
      </c>
      <c r="J75" s="14" t="s">
        <v>18</v>
      </c>
      <c r="K75" s="12">
        <v>-55</v>
      </c>
      <c r="L75" s="15">
        <f t="shared" si="1"/>
        <v>-4.4369335056800296E-3</v>
      </c>
      <c r="M75" s="12">
        <v>44</v>
      </c>
      <c r="N75" s="12">
        <v>731</v>
      </c>
    </row>
    <row r="76" spans="1:14" ht="19.95" customHeight="1" x14ac:dyDescent="0.3">
      <c r="A76" s="2">
        <v>75</v>
      </c>
      <c r="B76" s="3" t="s">
        <v>98</v>
      </c>
      <c r="C76" s="3" t="s">
        <v>99</v>
      </c>
      <c r="D76" s="16" t="s">
        <v>26</v>
      </c>
      <c r="E76" s="5">
        <v>92</v>
      </c>
      <c r="F76" s="6">
        <f>92/288</f>
        <v>0.31944444444444442</v>
      </c>
      <c r="G76" s="7" t="s">
        <v>17</v>
      </c>
      <c r="H76" s="5">
        <v>69</v>
      </c>
      <c r="I76" s="6">
        <f>69/248</f>
        <v>0.27822580645161288</v>
      </c>
      <c r="J76" s="7" t="s">
        <v>17</v>
      </c>
      <c r="K76" s="5">
        <v>-23</v>
      </c>
      <c r="L76" s="8">
        <f t="shared" si="1"/>
        <v>-4.1218637992831542E-2</v>
      </c>
      <c r="M76" s="5">
        <v>28</v>
      </c>
      <c r="N76" s="5">
        <v>248</v>
      </c>
    </row>
    <row r="77" spans="1:14" ht="19.95" customHeight="1" x14ac:dyDescent="0.3">
      <c r="A77" s="9">
        <v>76</v>
      </c>
      <c r="B77" s="10" t="s">
        <v>100</v>
      </c>
      <c r="C77" s="10" t="s">
        <v>101</v>
      </c>
      <c r="D77" s="16" t="s">
        <v>26</v>
      </c>
      <c r="E77" s="12">
        <v>225</v>
      </c>
      <c r="F77" s="13">
        <f>225/806</f>
        <v>0.27915632754342434</v>
      </c>
      <c r="G77" s="14" t="s">
        <v>17</v>
      </c>
      <c r="H77" s="12">
        <v>254</v>
      </c>
      <c r="I77" s="13">
        <f>254/752</f>
        <v>0.33776595744680848</v>
      </c>
      <c r="J77" s="14" t="s">
        <v>17</v>
      </c>
      <c r="K77" s="12">
        <v>29</v>
      </c>
      <c r="L77" s="15">
        <f t="shared" si="1"/>
        <v>5.8609629903384142E-2</v>
      </c>
      <c r="M77" s="12">
        <v>107</v>
      </c>
      <c r="N77" s="12">
        <v>752</v>
      </c>
    </row>
    <row r="78" spans="1:14" ht="19.95" customHeight="1" x14ac:dyDescent="0.3">
      <c r="A78" s="2">
        <v>77</v>
      </c>
      <c r="B78" s="3" t="s">
        <v>100</v>
      </c>
      <c r="C78" s="3" t="s">
        <v>101</v>
      </c>
      <c r="D78" s="4" t="s">
        <v>16</v>
      </c>
      <c r="E78" s="5">
        <v>154</v>
      </c>
      <c r="F78" s="6">
        <f>154/446</f>
        <v>0.3452914798206278</v>
      </c>
      <c r="G78" s="7" t="s">
        <v>27</v>
      </c>
      <c r="H78" s="5">
        <v>160</v>
      </c>
      <c r="I78" s="6">
        <f>160/395</f>
        <v>0.4050632911392405</v>
      </c>
      <c r="J78" s="7" t="s">
        <v>18</v>
      </c>
      <c r="K78" s="5">
        <v>6</v>
      </c>
      <c r="L78" s="8">
        <f t="shared" si="1"/>
        <v>5.97718113186127E-2</v>
      </c>
      <c r="M78" s="5">
        <v>63</v>
      </c>
      <c r="N78" s="5">
        <v>395</v>
      </c>
    </row>
    <row r="79" spans="1:14" ht="19.95" customHeight="1" x14ac:dyDescent="0.3">
      <c r="A79" s="9">
        <v>78</v>
      </c>
      <c r="B79" s="10" t="s">
        <v>102</v>
      </c>
      <c r="C79" s="10" t="s">
        <v>103</v>
      </c>
      <c r="D79" s="4" t="s">
        <v>16</v>
      </c>
      <c r="E79" s="12">
        <v>130</v>
      </c>
      <c r="F79" s="13">
        <f>130/367</f>
        <v>0.35422343324250682</v>
      </c>
      <c r="G79" s="14" t="s">
        <v>17</v>
      </c>
      <c r="H79" s="12">
        <v>160</v>
      </c>
      <c r="I79" s="13">
        <f>160/467</f>
        <v>0.34261241970021411</v>
      </c>
      <c r="J79" s="14" t="s">
        <v>18</v>
      </c>
      <c r="K79" s="12">
        <v>30</v>
      </c>
      <c r="L79" s="15">
        <f t="shared" si="1"/>
        <v>-1.1611013542292714E-2</v>
      </c>
      <c r="M79" s="12">
        <v>21</v>
      </c>
      <c r="N79" s="12">
        <v>467</v>
      </c>
    </row>
    <row r="80" spans="1:14" ht="19.95" customHeight="1" x14ac:dyDescent="0.3">
      <c r="A80" s="2">
        <v>79</v>
      </c>
      <c r="B80" s="3" t="s">
        <v>102</v>
      </c>
      <c r="C80" s="3" t="s">
        <v>103</v>
      </c>
      <c r="D80" s="16" t="s">
        <v>26</v>
      </c>
      <c r="E80" s="5">
        <v>225</v>
      </c>
      <c r="F80" s="6">
        <f>225/777</f>
        <v>0.28957528957528955</v>
      </c>
      <c r="G80" s="7" t="s">
        <v>17</v>
      </c>
      <c r="H80" s="5">
        <v>185</v>
      </c>
      <c r="I80" s="6">
        <f>185/503</f>
        <v>0.36779324055666002</v>
      </c>
      <c r="J80" s="7" t="s">
        <v>17</v>
      </c>
      <c r="K80" s="5">
        <v>-40</v>
      </c>
      <c r="L80" s="8">
        <f t="shared" si="1"/>
        <v>7.8217950981370465E-2</v>
      </c>
      <c r="M80" s="5">
        <v>18</v>
      </c>
      <c r="N80" s="5">
        <v>503</v>
      </c>
    </row>
    <row r="81" spans="1:14" ht="19.95" customHeight="1" x14ac:dyDescent="0.3">
      <c r="A81" s="9">
        <v>80</v>
      </c>
      <c r="B81" s="10" t="s">
        <v>104</v>
      </c>
      <c r="C81" s="10" t="s">
        <v>105</v>
      </c>
      <c r="D81" s="16" t="s">
        <v>26</v>
      </c>
      <c r="E81" s="12">
        <v>190</v>
      </c>
      <c r="F81" s="13">
        <f>190/640</f>
        <v>0.296875</v>
      </c>
      <c r="G81" s="14" t="s">
        <v>27</v>
      </c>
      <c r="H81" s="12">
        <v>190</v>
      </c>
      <c r="I81" s="13">
        <f>190/567</f>
        <v>0.33509700176366841</v>
      </c>
      <c r="J81" s="14" t="s">
        <v>17</v>
      </c>
      <c r="K81" s="12">
        <v>0</v>
      </c>
      <c r="L81" s="15">
        <f t="shared" si="1"/>
        <v>3.8222001763668412E-2</v>
      </c>
      <c r="M81" s="12">
        <v>15</v>
      </c>
      <c r="N81" s="12">
        <v>567</v>
      </c>
    </row>
    <row r="82" spans="1:14" ht="19.95" customHeight="1" x14ac:dyDescent="0.3">
      <c r="A82" s="2">
        <v>81</v>
      </c>
      <c r="B82" s="3" t="s">
        <v>106</v>
      </c>
      <c r="C82" s="3" t="s">
        <v>107</v>
      </c>
      <c r="D82" s="4" t="s">
        <v>16</v>
      </c>
      <c r="E82" s="5">
        <v>104</v>
      </c>
      <c r="F82" s="6">
        <f>104/445</f>
        <v>0.23370786516853934</v>
      </c>
      <c r="G82" s="7" t="s">
        <v>17</v>
      </c>
      <c r="H82" s="5">
        <v>210</v>
      </c>
      <c r="I82" s="6">
        <f>210/439</f>
        <v>0.4783599088838269</v>
      </c>
      <c r="J82" s="7" t="s">
        <v>18</v>
      </c>
      <c r="K82" s="5">
        <v>106</v>
      </c>
      <c r="L82" s="8">
        <f t="shared" si="1"/>
        <v>0.24465204371528756</v>
      </c>
      <c r="M82" s="5">
        <v>21</v>
      </c>
      <c r="N82" s="5">
        <v>439</v>
      </c>
    </row>
    <row r="83" spans="1:14" ht="19.95" customHeight="1" x14ac:dyDescent="0.3">
      <c r="A83" s="9">
        <v>82</v>
      </c>
      <c r="B83" s="10" t="s">
        <v>108</v>
      </c>
      <c r="C83" s="10" t="s">
        <v>109</v>
      </c>
      <c r="D83" s="16" t="s">
        <v>26</v>
      </c>
      <c r="E83" s="12">
        <v>153</v>
      </c>
      <c r="F83" s="13">
        <f>153/579</f>
        <v>0.26424870466321243</v>
      </c>
      <c r="G83" s="14" t="s">
        <v>17</v>
      </c>
      <c r="H83" s="12">
        <v>118</v>
      </c>
      <c r="I83" s="13">
        <f>118/575</f>
        <v>0.20521739130434782</v>
      </c>
      <c r="J83" s="14" t="s">
        <v>17</v>
      </c>
      <c r="K83" s="12">
        <v>-35</v>
      </c>
      <c r="L83" s="15">
        <f t="shared" si="1"/>
        <v>-5.9031313358864607E-2</v>
      </c>
      <c r="M83" s="12">
        <v>227</v>
      </c>
      <c r="N83" s="12">
        <v>575</v>
      </c>
    </row>
    <row r="84" spans="1:14" ht="19.95" customHeight="1" x14ac:dyDescent="0.3">
      <c r="A84" s="2">
        <v>83</v>
      </c>
      <c r="B84" s="3" t="s">
        <v>108</v>
      </c>
      <c r="C84" s="3" t="s">
        <v>109</v>
      </c>
      <c r="D84" s="16" t="s">
        <v>26</v>
      </c>
      <c r="E84" s="5">
        <v>128</v>
      </c>
      <c r="F84" s="6">
        <f>128/402</f>
        <v>0.31840796019900497</v>
      </c>
      <c r="G84" s="7" t="s">
        <v>27</v>
      </c>
      <c r="H84" s="5">
        <v>101</v>
      </c>
      <c r="I84" s="6">
        <f>101/326</f>
        <v>0.30981595092024539</v>
      </c>
      <c r="J84" s="7" t="s">
        <v>17</v>
      </c>
      <c r="K84" s="5">
        <v>-27</v>
      </c>
      <c r="L84" s="8">
        <f t="shared" si="1"/>
        <v>-8.5920092787595825E-3</v>
      </c>
      <c r="M84" s="5">
        <v>11</v>
      </c>
      <c r="N84" s="5">
        <v>326</v>
      </c>
    </row>
    <row r="85" spans="1:14" ht="19.95" customHeight="1" x14ac:dyDescent="0.3">
      <c r="A85" s="9">
        <v>84</v>
      </c>
      <c r="B85" s="10" t="s">
        <v>110</v>
      </c>
      <c r="C85" s="10" t="s">
        <v>111</v>
      </c>
      <c r="D85" s="16" t="s">
        <v>26</v>
      </c>
      <c r="E85" s="12">
        <v>113</v>
      </c>
      <c r="F85" s="13">
        <f>113/542</f>
        <v>0.20848708487084872</v>
      </c>
      <c r="G85" s="14" t="s">
        <v>17</v>
      </c>
      <c r="H85" s="12">
        <v>125</v>
      </c>
      <c r="I85" s="13">
        <f>125/479</f>
        <v>0.26096033402922758</v>
      </c>
      <c r="J85" s="14" t="s">
        <v>17</v>
      </c>
      <c r="K85" s="12">
        <v>12</v>
      </c>
      <c r="L85" s="15">
        <f t="shared" si="1"/>
        <v>5.2473249158378865E-2</v>
      </c>
      <c r="M85" s="12">
        <v>122</v>
      </c>
      <c r="N85" s="12">
        <v>479</v>
      </c>
    </row>
    <row r="86" spans="1:14" ht="19.95" customHeight="1" x14ac:dyDescent="0.3">
      <c r="A86" s="2">
        <v>85</v>
      </c>
      <c r="B86" s="3" t="s">
        <v>112</v>
      </c>
      <c r="C86" s="3" t="s">
        <v>113</v>
      </c>
      <c r="D86" s="4" t="s">
        <v>16</v>
      </c>
      <c r="E86" s="5">
        <v>229</v>
      </c>
      <c r="F86" s="6">
        <f>229/764</f>
        <v>0.29973821989528798</v>
      </c>
      <c r="G86" s="7" t="s">
        <v>17</v>
      </c>
      <c r="H86" s="5">
        <v>309</v>
      </c>
      <c r="I86" s="6">
        <f>309/678</f>
        <v>0.45575221238938052</v>
      </c>
      <c r="J86" s="7" t="s">
        <v>18</v>
      </c>
      <c r="K86" s="5">
        <v>80</v>
      </c>
      <c r="L86" s="8">
        <f t="shared" si="1"/>
        <v>0.15601399249409253</v>
      </c>
      <c r="M86" s="5">
        <v>97</v>
      </c>
      <c r="N86" s="5">
        <v>678</v>
      </c>
    </row>
    <row r="87" spans="1:14" ht="19.95" customHeight="1" x14ac:dyDescent="0.3">
      <c r="A87" s="9">
        <v>86</v>
      </c>
      <c r="B87" s="10" t="s">
        <v>114</v>
      </c>
      <c r="C87" s="10" t="s">
        <v>115</v>
      </c>
      <c r="D87" s="4" t="s">
        <v>16</v>
      </c>
      <c r="E87" s="12">
        <v>96</v>
      </c>
      <c r="F87" s="13">
        <f>96/551</f>
        <v>0.17422867513611615</v>
      </c>
      <c r="G87" s="14" t="s">
        <v>27</v>
      </c>
      <c r="H87" s="12">
        <v>235</v>
      </c>
      <c r="I87" s="13">
        <f>235/542</f>
        <v>0.43357933579335795</v>
      </c>
      <c r="J87" s="14" t="s">
        <v>18</v>
      </c>
      <c r="K87" s="12">
        <v>139</v>
      </c>
      <c r="L87" s="15">
        <f t="shared" si="1"/>
        <v>0.25935066065724177</v>
      </c>
      <c r="M87" s="12">
        <v>35</v>
      </c>
      <c r="N87" s="12">
        <v>542</v>
      </c>
    </row>
    <row r="88" spans="1:14" ht="19.95" customHeight="1" x14ac:dyDescent="0.3">
      <c r="A88" s="2">
        <v>87</v>
      </c>
      <c r="B88" s="3" t="s">
        <v>116</v>
      </c>
      <c r="C88" s="3" t="s">
        <v>117</v>
      </c>
      <c r="D88" s="16" t="s">
        <v>26</v>
      </c>
      <c r="E88" s="5">
        <v>100</v>
      </c>
      <c r="F88" s="6">
        <f>100/409</f>
        <v>0.24449877750611246</v>
      </c>
      <c r="G88" s="7" t="s">
        <v>17</v>
      </c>
      <c r="H88" s="5">
        <v>121</v>
      </c>
      <c r="I88" s="6">
        <f>121/372</f>
        <v>0.32526881720430106</v>
      </c>
      <c r="J88" s="7" t="s">
        <v>17</v>
      </c>
      <c r="K88" s="5">
        <v>21</v>
      </c>
      <c r="L88" s="8">
        <f t="shared" si="1"/>
        <v>8.0770039698188606E-2</v>
      </c>
      <c r="M88" s="5">
        <v>67</v>
      </c>
      <c r="N88" s="5">
        <v>372</v>
      </c>
    </row>
    <row r="89" spans="1:14" ht="19.95" customHeight="1" x14ac:dyDescent="0.3">
      <c r="A89" s="9">
        <v>88</v>
      </c>
      <c r="B89" s="10" t="s">
        <v>118</v>
      </c>
      <c r="C89" s="10" t="s">
        <v>119</v>
      </c>
      <c r="D89" s="16" t="s">
        <v>26</v>
      </c>
      <c r="E89" s="12">
        <v>291</v>
      </c>
      <c r="F89" s="13">
        <f>291/861</f>
        <v>0.33797909407665505</v>
      </c>
      <c r="G89" s="14" t="s">
        <v>17</v>
      </c>
      <c r="H89" s="12">
        <v>158</v>
      </c>
      <c r="I89" s="13">
        <f>158/774</f>
        <v>0.20413436692506459</v>
      </c>
      <c r="J89" s="14" t="s">
        <v>17</v>
      </c>
      <c r="K89" s="12">
        <v>-133</v>
      </c>
      <c r="L89" s="15">
        <f t="shared" si="1"/>
        <v>-0.13384472715159046</v>
      </c>
      <c r="M89" s="12">
        <v>216</v>
      </c>
      <c r="N89" s="12">
        <v>774</v>
      </c>
    </row>
    <row r="90" spans="1:14" ht="19.95" customHeight="1" x14ac:dyDescent="0.3">
      <c r="A90" s="2">
        <v>89</v>
      </c>
      <c r="B90" s="3" t="s">
        <v>120</v>
      </c>
      <c r="C90" s="3" t="s">
        <v>121</v>
      </c>
      <c r="D90" s="17" t="s">
        <v>36</v>
      </c>
      <c r="E90" s="5">
        <v>137</v>
      </c>
      <c r="F90" s="6">
        <f>137/507</f>
        <v>0.27021696252465482</v>
      </c>
      <c r="G90" s="7" t="s">
        <v>17</v>
      </c>
      <c r="H90" s="5">
        <v>77</v>
      </c>
      <c r="I90" s="6">
        <f>77/477</f>
        <v>0.16142557651991615</v>
      </c>
      <c r="J90" s="7" t="s">
        <v>17</v>
      </c>
      <c r="K90" s="5">
        <v>-60</v>
      </c>
      <c r="L90" s="8">
        <f t="shared" si="1"/>
        <v>-0.10879138600473867</v>
      </c>
      <c r="M90" s="5">
        <v>191</v>
      </c>
      <c r="N90" s="5">
        <v>477</v>
      </c>
    </row>
    <row r="91" spans="1:14" ht="19.95" customHeight="1" x14ac:dyDescent="0.3">
      <c r="A91" s="9">
        <v>90</v>
      </c>
      <c r="B91" s="10" t="s">
        <v>122</v>
      </c>
      <c r="C91" s="10" t="s">
        <v>123</v>
      </c>
      <c r="D91" s="11" t="s">
        <v>21</v>
      </c>
      <c r="E91" s="12">
        <v>189</v>
      </c>
      <c r="F91" s="13">
        <f>189/480</f>
        <v>0.39374999999999999</v>
      </c>
      <c r="G91" s="14" t="s">
        <v>18</v>
      </c>
      <c r="H91" s="12">
        <v>236</v>
      </c>
      <c r="I91" s="13">
        <f>236/455</f>
        <v>0.51868131868131873</v>
      </c>
      <c r="J91" s="14" t="s">
        <v>18</v>
      </c>
      <c r="K91" s="12">
        <v>47</v>
      </c>
      <c r="L91" s="15">
        <f t="shared" si="1"/>
        <v>0.12493131868131874</v>
      </c>
      <c r="M91" s="12">
        <v>125</v>
      </c>
      <c r="N91" s="12">
        <v>455</v>
      </c>
    </row>
    <row r="92" spans="1:14" ht="19.95" customHeight="1" x14ac:dyDescent="0.3">
      <c r="A92" s="2">
        <v>91</v>
      </c>
      <c r="B92" s="3" t="s">
        <v>124</v>
      </c>
      <c r="C92" s="3" t="s">
        <v>125</v>
      </c>
      <c r="D92" s="11" t="s">
        <v>21</v>
      </c>
      <c r="E92" s="5">
        <v>213</v>
      </c>
      <c r="F92" s="6">
        <f>213/604</f>
        <v>0.35264900662251658</v>
      </c>
      <c r="G92" s="7" t="s">
        <v>18</v>
      </c>
      <c r="H92" s="5">
        <v>283</v>
      </c>
      <c r="I92" s="6">
        <f>283/572</f>
        <v>0.49475524475524474</v>
      </c>
      <c r="J92" s="7" t="s">
        <v>18</v>
      </c>
      <c r="K92" s="5">
        <v>70</v>
      </c>
      <c r="L92" s="8">
        <f t="shared" si="1"/>
        <v>0.14210623813272816</v>
      </c>
      <c r="M92" s="5">
        <v>120</v>
      </c>
      <c r="N92" s="5">
        <v>572</v>
      </c>
    </row>
    <row r="93" spans="1:14" ht="19.95" customHeight="1" x14ac:dyDescent="0.3">
      <c r="A93" s="9">
        <v>92</v>
      </c>
      <c r="B93" s="10" t="s">
        <v>126</v>
      </c>
      <c r="C93" s="10" t="s">
        <v>127</v>
      </c>
      <c r="D93" s="16" t="s">
        <v>26</v>
      </c>
      <c r="E93" s="12">
        <v>195</v>
      </c>
      <c r="F93" s="13">
        <f>195/697</f>
        <v>0.27977044476327118</v>
      </c>
      <c r="G93" s="14" t="s">
        <v>17</v>
      </c>
      <c r="H93" s="12">
        <v>145</v>
      </c>
      <c r="I93" s="13">
        <f>145/624</f>
        <v>0.23237179487179488</v>
      </c>
      <c r="J93" s="14" t="s">
        <v>17</v>
      </c>
      <c r="K93" s="12">
        <v>-50</v>
      </c>
      <c r="L93" s="15">
        <f t="shared" si="1"/>
        <v>-4.7398649891476297E-2</v>
      </c>
      <c r="M93" s="12">
        <v>158</v>
      </c>
      <c r="N93" s="12">
        <v>624</v>
      </c>
    </row>
    <row r="94" spans="1:14" ht="19.95" customHeight="1" x14ac:dyDescent="0.3">
      <c r="A94" s="2">
        <v>93</v>
      </c>
      <c r="B94" s="3" t="s">
        <v>128</v>
      </c>
      <c r="C94" s="3" t="s">
        <v>129</v>
      </c>
      <c r="D94" s="16" t="s">
        <v>26</v>
      </c>
      <c r="E94" s="5">
        <v>158</v>
      </c>
      <c r="F94" s="6">
        <f>158/514</f>
        <v>0.30739299610894943</v>
      </c>
      <c r="G94" s="7" t="s">
        <v>27</v>
      </c>
      <c r="H94" s="5">
        <v>124</v>
      </c>
      <c r="I94" s="6">
        <f>124/500</f>
        <v>0.248</v>
      </c>
      <c r="J94" s="7" t="s">
        <v>17</v>
      </c>
      <c r="K94" s="5">
        <v>-34</v>
      </c>
      <c r="L94" s="8">
        <f t="shared" si="1"/>
        <v>-5.9392996108949436E-2</v>
      </c>
      <c r="M94" s="5">
        <v>192</v>
      </c>
      <c r="N94" s="5">
        <v>500</v>
      </c>
    </row>
    <row r="95" spans="1:14" ht="19.95" customHeight="1" x14ac:dyDescent="0.3">
      <c r="A95" s="9">
        <v>94</v>
      </c>
      <c r="B95" s="10" t="s">
        <v>128</v>
      </c>
      <c r="C95" s="10" t="s">
        <v>129</v>
      </c>
      <c r="D95" s="4" t="s">
        <v>16</v>
      </c>
      <c r="E95" s="12">
        <v>131</v>
      </c>
      <c r="F95" s="13">
        <f>131/396</f>
        <v>0.33080808080808083</v>
      </c>
      <c r="G95" s="14" t="s">
        <v>27</v>
      </c>
      <c r="H95" s="12">
        <v>153</v>
      </c>
      <c r="I95" s="13">
        <f>153/378</f>
        <v>0.40476190476190477</v>
      </c>
      <c r="J95" s="14" t="s">
        <v>18</v>
      </c>
      <c r="K95" s="12">
        <v>22</v>
      </c>
      <c r="L95" s="15">
        <f t="shared" si="1"/>
        <v>7.3953823953823938E-2</v>
      </c>
      <c r="M95" s="12">
        <v>42</v>
      </c>
      <c r="N95" s="12">
        <v>378</v>
      </c>
    </row>
    <row r="96" spans="1:14" ht="19.95" customHeight="1" x14ac:dyDescent="0.3">
      <c r="A96" s="2">
        <v>95</v>
      </c>
      <c r="B96" s="3" t="s">
        <v>130</v>
      </c>
      <c r="C96" s="3" t="s">
        <v>131</v>
      </c>
      <c r="D96" s="4" t="s">
        <v>16</v>
      </c>
      <c r="E96" s="5">
        <v>145</v>
      </c>
      <c r="F96" s="6">
        <f>145/597</f>
        <v>0.24288107202680068</v>
      </c>
      <c r="G96" s="7" t="s">
        <v>17</v>
      </c>
      <c r="H96" s="5">
        <v>214</v>
      </c>
      <c r="I96" s="6">
        <f>214/528</f>
        <v>0.40530303030303028</v>
      </c>
      <c r="J96" s="7" t="s">
        <v>18</v>
      </c>
      <c r="K96" s="5">
        <v>69</v>
      </c>
      <c r="L96" s="8">
        <f t="shared" si="1"/>
        <v>0.1624219582762296</v>
      </c>
      <c r="M96" s="5">
        <v>25</v>
      </c>
      <c r="N96" s="5">
        <v>528</v>
      </c>
    </row>
    <row r="97" spans="1:14" ht="19.95" customHeight="1" x14ac:dyDescent="0.3">
      <c r="A97" s="9">
        <v>96</v>
      </c>
      <c r="B97" s="10" t="s">
        <v>130</v>
      </c>
      <c r="C97" s="10" t="s">
        <v>131</v>
      </c>
      <c r="D97" s="16" t="s">
        <v>26</v>
      </c>
      <c r="E97" s="12">
        <v>161</v>
      </c>
      <c r="F97" s="13">
        <f>161/560</f>
        <v>0.28749999999999998</v>
      </c>
      <c r="G97" s="14" t="s">
        <v>17</v>
      </c>
      <c r="H97" s="12">
        <v>148</v>
      </c>
      <c r="I97" s="13">
        <f>148/510</f>
        <v>0.29019607843137257</v>
      </c>
      <c r="J97" s="14" t="s">
        <v>66</v>
      </c>
      <c r="K97" s="12">
        <v>-13</v>
      </c>
      <c r="L97" s="15">
        <f t="shared" si="1"/>
        <v>2.696078431372595E-3</v>
      </c>
      <c r="M97" s="12">
        <v>40</v>
      </c>
      <c r="N97" s="12">
        <v>510</v>
      </c>
    </row>
    <row r="98" spans="1:14" ht="19.95" customHeight="1" x14ac:dyDescent="0.3">
      <c r="A98" s="2">
        <v>97</v>
      </c>
      <c r="B98" s="3" t="s">
        <v>130</v>
      </c>
      <c r="C98" s="3" t="s">
        <v>131</v>
      </c>
      <c r="D98" s="18" t="s">
        <v>43</v>
      </c>
      <c r="E98" s="5">
        <v>278</v>
      </c>
      <c r="F98" s="6">
        <f>278/716</f>
        <v>0.38826815642458101</v>
      </c>
      <c r="G98" s="7" t="s">
        <v>18</v>
      </c>
      <c r="H98" s="5">
        <v>175</v>
      </c>
      <c r="I98" s="6">
        <f>175/637</f>
        <v>0.27472527472527475</v>
      </c>
      <c r="J98" s="7" t="s">
        <v>17</v>
      </c>
      <c r="K98" s="5">
        <v>-103</v>
      </c>
      <c r="L98" s="8">
        <f t="shared" si="1"/>
        <v>-0.11354288169930626</v>
      </c>
      <c r="M98" s="5">
        <v>12</v>
      </c>
      <c r="N98" s="5">
        <v>637</v>
      </c>
    </row>
    <row r="99" spans="1:14" ht="19.95" customHeight="1" x14ac:dyDescent="0.3">
      <c r="A99" s="9">
        <v>98</v>
      </c>
      <c r="B99" s="10" t="s">
        <v>130</v>
      </c>
      <c r="C99" s="10" t="s">
        <v>131</v>
      </c>
      <c r="D99" s="17" t="s">
        <v>36</v>
      </c>
      <c r="E99" s="12">
        <v>177</v>
      </c>
      <c r="F99" s="13">
        <f>177/791</f>
        <v>0.22376738305941846</v>
      </c>
      <c r="G99" s="14" t="s">
        <v>17</v>
      </c>
      <c r="H99" s="12">
        <v>145</v>
      </c>
      <c r="I99" s="13">
        <f>145/794</f>
        <v>0.18261964735516373</v>
      </c>
      <c r="J99" s="14" t="s">
        <v>66</v>
      </c>
      <c r="K99" s="12">
        <v>-32</v>
      </c>
      <c r="L99" s="15">
        <f t="shared" si="1"/>
        <v>-4.1147735704254729E-2</v>
      </c>
      <c r="M99" s="12">
        <v>382</v>
      </c>
      <c r="N99" s="12">
        <v>794</v>
      </c>
    </row>
    <row r="100" spans="1:14" ht="19.95" customHeight="1" x14ac:dyDescent="0.3">
      <c r="A100" s="2">
        <v>99</v>
      </c>
      <c r="B100" s="3" t="s">
        <v>130</v>
      </c>
      <c r="C100" s="3" t="s">
        <v>131</v>
      </c>
      <c r="D100" s="17" t="s">
        <v>36</v>
      </c>
      <c r="E100" s="5">
        <v>165</v>
      </c>
      <c r="F100" s="6">
        <f>165/562</f>
        <v>0.29359430604982206</v>
      </c>
      <c r="G100" s="7" t="s">
        <v>17</v>
      </c>
      <c r="H100" s="5">
        <v>106</v>
      </c>
      <c r="I100" s="6">
        <f>106/544</f>
        <v>0.19485294117647059</v>
      </c>
      <c r="J100" s="7" t="s">
        <v>66</v>
      </c>
      <c r="K100" s="5">
        <v>-59</v>
      </c>
      <c r="L100" s="8">
        <f t="shared" si="1"/>
        <v>-9.8741364873351473E-2</v>
      </c>
      <c r="M100" s="5">
        <v>257</v>
      </c>
      <c r="N100" s="5">
        <v>544</v>
      </c>
    </row>
    <row r="101" spans="1:14" ht="19.95" customHeight="1" x14ac:dyDescent="0.3">
      <c r="A101" s="9">
        <v>100</v>
      </c>
      <c r="B101" s="10" t="s">
        <v>130</v>
      </c>
      <c r="C101" s="10" t="s">
        <v>131</v>
      </c>
      <c r="D101" s="16" t="s">
        <v>26</v>
      </c>
      <c r="E101" s="12">
        <v>168</v>
      </c>
      <c r="F101" s="13">
        <f>168/501</f>
        <v>0.33532934131736525</v>
      </c>
      <c r="G101" s="14" t="s">
        <v>17</v>
      </c>
      <c r="H101" s="12">
        <v>142</v>
      </c>
      <c r="I101" s="13">
        <f>142/439</f>
        <v>0.32346241457858771</v>
      </c>
      <c r="J101" s="14" t="s">
        <v>17</v>
      </c>
      <c r="K101" s="12">
        <v>-26</v>
      </c>
      <c r="L101" s="15">
        <f t="shared" si="1"/>
        <v>-1.1866926738777539E-2</v>
      </c>
      <c r="M101" s="12">
        <v>27</v>
      </c>
      <c r="N101" s="12">
        <v>439</v>
      </c>
    </row>
    <row r="102" spans="1:14" ht="19.95" customHeight="1" x14ac:dyDescent="0.3">
      <c r="A102" s="2">
        <v>101</v>
      </c>
      <c r="B102" s="3" t="s">
        <v>130</v>
      </c>
      <c r="C102" s="3" t="s">
        <v>131</v>
      </c>
      <c r="D102" s="16" t="s">
        <v>26</v>
      </c>
      <c r="E102" s="5">
        <v>260</v>
      </c>
      <c r="F102" s="6">
        <f>260/850</f>
        <v>0.30588235294117649</v>
      </c>
      <c r="G102" s="7" t="s">
        <v>17</v>
      </c>
      <c r="H102" s="5">
        <v>227</v>
      </c>
      <c r="I102" s="6">
        <f>227/694</f>
        <v>0.32708933717579253</v>
      </c>
      <c r="J102" s="7" t="s">
        <v>17</v>
      </c>
      <c r="K102" s="5">
        <v>-33</v>
      </c>
      <c r="L102" s="8">
        <f t="shared" si="1"/>
        <v>2.1206984234616033E-2</v>
      </c>
      <c r="M102" s="5">
        <v>20</v>
      </c>
      <c r="N102" s="5">
        <v>694</v>
      </c>
    </row>
    <row r="103" spans="1:14" ht="19.95" customHeight="1" x14ac:dyDescent="0.3">
      <c r="A103" s="9">
        <v>102</v>
      </c>
      <c r="B103" s="10" t="s">
        <v>130</v>
      </c>
      <c r="C103" s="10" t="s">
        <v>131</v>
      </c>
      <c r="D103" s="4" t="s">
        <v>16</v>
      </c>
      <c r="E103" s="12">
        <v>213</v>
      </c>
      <c r="F103" s="13">
        <f>213/703</f>
        <v>0.30298719772403981</v>
      </c>
      <c r="G103" s="14" t="s">
        <v>17</v>
      </c>
      <c r="H103" s="12">
        <v>199</v>
      </c>
      <c r="I103" s="13">
        <f>199/566</f>
        <v>0.35159010600706714</v>
      </c>
      <c r="J103" s="14" t="s">
        <v>18</v>
      </c>
      <c r="K103" s="12">
        <v>-14</v>
      </c>
      <c r="L103" s="15">
        <f t="shared" si="1"/>
        <v>4.8602908283027324E-2</v>
      </c>
      <c r="M103" s="12">
        <v>19</v>
      </c>
      <c r="N103" s="12">
        <v>566</v>
      </c>
    </row>
    <row r="104" spans="1:14" ht="19.95" customHeight="1" x14ac:dyDescent="0.3">
      <c r="A104" s="2">
        <v>103</v>
      </c>
      <c r="B104" s="3" t="s">
        <v>132</v>
      </c>
      <c r="C104" s="3" t="s">
        <v>133</v>
      </c>
      <c r="D104" s="4" t="s">
        <v>16</v>
      </c>
      <c r="E104" s="5">
        <v>103</v>
      </c>
      <c r="F104" s="6">
        <f>103/307</f>
        <v>0.33550488599348532</v>
      </c>
      <c r="G104" s="7" t="s">
        <v>17</v>
      </c>
      <c r="H104" s="5">
        <v>116</v>
      </c>
      <c r="I104" s="6">
        <f>116/268</f>
        <v>0.43283582089552236</v>
      </c>
      <c r="J104" s="7" t="s">
        <v>18</v>
      </c>
      <c r="K104" s="5">
        <v>13</v>
      </c>
      <c r="L104" s="8">
        <f t="shared" si="1"/>
        <v>9.7330934902037036E-2</v>
      </c>
      <c r="M104" s="5">
        <v>11</v>
      </c>
      <c r="N104" s="5">
        <v>268</v>
      </c>
    </row>
    <row r="105" spans="1:14" ht="19.95" customHeight="1" x14ac:dyDescent="0.3">
      <c r="A105" s="9">
        <v>104</v>
      </c>
      <c r="B105" s="10" t="s">
        <v>134</v>
      </c>
      <c r="C105" s="10" t="s">
        <v>135</v>
      </c>
      <c r="D105" s="4" t="s">
        <v>16</v>
      </c>
      <c r="E105" s="12">
        <v>106</v>
      </c>
      <c r="F105" s="13">
        <f>106/536</f>
        <v>0.19776119402985073</v>
      </c>
      <c r="G105" s="14" t="s">
        <v>27</v>
      </c>
      <c r="H105" s="12">
        <v>250</v>
      </c>
      <c r="I105" s="13">
        <f>250/484</f>
        <v>0.51652892561983466</v>
      </c>
      <c r="J105" s="14" t="s">
        <v>18</v>
      </c>
      <c r="K105" s="12">
        <v>144</v>
      </c>
      <c r="L105" s="15">
        <f t="shared" si="1"/>
        <v>0.31876773158998395</v>
      </c>
      <c r="M105" s="12">
        <v>117</v>
      </c>
      <c r="N105" s="12">
        <v>484</v>
      </c>
    </row>
    <row r="106" spans="1:14" ht="19.95" customHeight="1" x14ac:dyDescent="0.3">
      <c r="A106" s="2">
        <v>105</v>
      </c>
      <c r="B106" s="3" t="s">
        <v>134</v>
      </c>
      <c r="C106" s="3" t="s">
        <v>135</v>
      </c>
      <c r="D106" s="16" t="s">
        <v>136</v>
      </c>
      <c r="E106" s="5">
        <v>4</v>
      </c>
      <c r="F106" s="6">
        <f>4/59</f>
        <v>6.7796610169491525E-2</v>
      </c>
      <c r="G106" s="7" t="s">
        <v>27</v>
      </c>
      <c r="H106" s="5">
        <v>0</v>
      </c>
      <c r="I106" s="6">
        <v>0</v>
      </c>
      <c r="J106" s="7" t="s">
        <v>137</v>
      </c>
      <c r="K106" s="5">
        <v>-4</v>
      </c>
      <c r="L106" s="8">
        <f t="shared" si="1"/>
        <v>-6.7796610169491525E-2</v>
      </c>
      <c r="M106" s="5">
        <v>0</v>
      </c>
      <c r="N106" s="5">
        <v>0</v>
      </c>
    </row>
    <row r="107" spans="1:14" ht="19.95" customHeight="1" x14ac:dyDescent="0.3">
      <c r="A107" s="9">
        <v>106</v>
      </c>
      <c r="B107" s="10" t="s">
        <v>138</v>
      </c>
      <c r="C107" s="10" t="s">
        <v>139</v>
      </c>
      <c r="D107" s="18" t="s">
        <v>43</v>
      </c>
      <c r="E107" s="12">
        <v>142</v>
      </c>
      <c r="F107" s="13">
        <f>142/429</f>
        <v>0.33100233100233101</v>
      </c>
      <c r="G107" s="14" t="s">
        <v>18</v>
      </c>
      <c r="H107" s="12">
        <v>186</v>
      </c>
      <c r="I107" s="13">
        <f>186/625</f>
        <v>0.29759999999999998</v>
      </c>
      <c r="J107" s="14" t="s">
        <v>17</v>
      </c>
      <c r="K107" s="12">
        <v>44</v>
      </c>
      <c r="L107" s="15">
        <f t="shared" si="1"/>
        <v>-3.3402331002331032E-2</v>
      </c>
      <c r="M107" s="12">
        <v>35</v>
      </c>
      <c r="N107" s="12">
        <v>625</v>
      </c>
    </row>
    <row r="108" spans="1:14" ht="19.95" customHeight="1" x14ac:dyDescent="0.3">
      <c r="A108" s="2">
        <v>107</v>
      </c>
      <c r="B108" s="3" t="s">
        <v>140</v>
      </c>
      <c r="C108" s="3" t="s">
        <v>141</v>
      </c>
      <c r="D108" s="17" t="s">
        <v>36</v>
      </c>
      <c r="E108" s="5">
        <v>121</v>
      </c>
      <c r="F108" s="6">
        <f>121/490</f>
        <v>0.24693877551020407</v>
      </c>
      <c r="G108" s="7" t="s">
        <v>27</v>
      </c>
      <c r="H108" s="5">
        <v>29</v>
      </c>
      <c r="I108" s="6">
        <f>29/235</f>
        <v>0.12340425531914893</v>
      </c>
      <c r="J108" s="7" t="s">
        <v>66</v>
      </c>
      <c r="K108" s="5">
        <v>-92</v>
      </c>
      <c r="L108" s="8">
        <f t="shared" si="1"/>
        <v>-0.12353452019105514</v>
      </c>
      <c r="M108" s="5">
        <v>48</v>
      </c>
      <c r="N108" s="5">
        <v>235</v>
      </c>
    </row>
    <row r="109" spans="1:14" ht="19.95" customHeight="1" x14ac:dyDescent="0.3">
      <c r="A109" s="9">
        <v>108</v>
      </c>
      <c r="B109" s="10" t="s">
        <v>142</v>
      </c>
      <c r="C109" s="10" t="s">
        <v>143</v>
      </c>
      <c r="D109" s="4" t="s">
        <v>16</v>
      </c>
      <c r="E109" s="12">
        <v>345</v>
      </c>
      <c r="F109" s="13">
        <f>345/910</f>
        <v>0.37912087912087911</v>
      </c>
      <c r="G109" s="14" t="s">
        <v>17</v>
      </c>
      <c r="H109" s="12">
        <v>306</v>
      </c>
      <c r="I109" s="13">
        <f>306/826</f>
        <v>0.3704600484261501</v>
      </c>
      <c r="J109" s="14" t="s">
        <v>18</v>
      </c>
      <c r="K109" s="12">
        <v>-39</v>
      </c>
      <c r="L109" s="15">
        <f t="shared" si="1"/>
        <v>-8.6608306947290048E-3</v>
      </c>
      <c r="M109" s="12">
        <v>26</v>
      </c>
      <c r="N109" s="12">
        <v>826</v>
      </c>
    </row>
    <row r="110" spans="1:14" ht="19.95" customHeight="1" x14ac:dyDescent="0.3">
      <c r="A110" s="2">
        <v>109</v>
      </c>
      <c r="B110" s="3" t="s">
        <v>144</v>
      </c>
      <c r="C110" s="3" t="s">
        <v>145</v>
      </c>
      <c r="D110" s="16" t="s">
        <v>26</v>
      </c>
      <c r="E110" s="5">
        <v>78</v>
      </c>
      <c r="F110" s="6">
        <f>78/527</f>
        <v>0.14800759013282733</v>
      </c>
      <c r="G110" s="7" t="s">
        <v>27</v>
      </c>
      <c r="H110" s="5">
        <v>118</v>
      </c>
      <c r="I110" s="6">
        <f>118/495</f>
        <v>0.23838383838383839</v>
      </c>
      <c r="J110" s="7" t="s">
        <v>17</v>
      </c>
      <c r="K110" s="5">
        <v>40</v>
      </c>
      <c r="L110" s="8">
        <f t="shared" si="1"/>
        <v>9.0376248251011065E-2</v>
      </c>
      <c r="M110" s="5">
        <v>89</v>
      </c>
      <c r="N110" s="5">
        <v>495</v>
      </c>
    </row>
    <row r="111" spans="1:14" ht="19.95" customHeight="1" x14ac:dyDescent="0.3">
      <c r="A111" s="9">
        <v>110</v>
      </c>
      <c r="B111" s="10" t="s">
        <v>146</v>
      </c>
      <c r="C111" s="10" t="s">
        <v>147</v>
      </c>
      <c r="D111" s="17" t="s">
        <v>36</v>
      </c>
      <c r="E111" s="12">
        <v>127</v>
      </c>
      <c r="F111" s="13">
        <f>127/615</f>
        <v>0.20650406504065041</v>
      </c>
      <c r="G111" s="14" t="s">
        <v>17</v>
      </c>
      <c r="H111" s="12">
        <v>85</v>
      </c>
      <c r="I111" s="13">
        <f>85/570</f>
        <v>0.14912280701754385</v>
      </c>
      <c r="J111" s="14" t="s">
        <v>17</v>
      </c>
      <c r="K111" s="12">
        <v>-42</v>
      </c>
      <c r="L111" s="15">
        <f t="shared" si="1"/>
        <v>-5.7381258023106563E-2</v>
      </c>
      <c r="M111" s="12">
        <v>167</v>
      </c>
      <c r="N111" s="12">
        <v>570</v>
      </c>
    </row>
    <row r="112" spans="1:14" ht="19.95" customHeight="1" x14ac:dyDescent="0.3">
      <c r="A112" s="2">
        <v>111</v>
      </c>
      <c r="B112" s="3" t="s">
        <v>148</v>
      </c>
      <c r="C112" s="3" t="s">
        <v>149</v>
      </c>
      <c r="D112" s="4" t="s">
        <v>16</v>
      </c>
      <c r="E112" s="5">
        <v>192</v>
      </c>
      <c r="F112" s="6">
        <f>192/604</f>
        <v>0.31788079470198677</v>
      </c>
      <c r="G112" s="7" t="s">
        <v>27</v>
      </c>
      <c r="H112" s="5">
        <v>235</v>
      </c>
      <c r="I112" s="6">
        <f>235/596</f>
        <v>0.39429530201342283</v>
      </c>
      <c r="J112" s="7" t="s">
        <v>18</v>
      </c>
      <c r="K112" s="5">
        <v>43</v>
      </c>
      <c r="L112" s="8">
        <f t="shared" si="1"/>
        <v>7.6414507311436064E-2</v>
      </c>
      <c r="M112" s="5">
        <v>63</v>
      </c>
      <c r="N112" s="5">
        <v>596</v>
      </c>
    </row>
    <row r="113" spans="1:14" ht="19.95" customHeight="1" x14ac:dyDescent="0.3">
      <c r="A113" s="9">
        <v>112</v>
      </c>
      <c r="B113" s="10" t="s">
        <v>150</v>
      </c>
      <c r="C113" s="10" t="s">
        <v>151</v>
      </c>
      <c r="D113" s="16" t="s">
        <v>26</v>
      </c>
      <c r="E113" s="12">
        <v>138</v>
      </c>
      <c r="F113" s="13">
        <f>138/506</f>
        <v>0.27272727272727271</v>
      </c>
      <c r="G113" s="14" t="s">
        <v>17</v>
      </c>
      <c r="H113" s="12">
        <v>124</v>
      </c>
      <c r="I113" s="13">
        <f>124/433</f>
        <v>0.2863741339491917</v>
      </c>
      <c r="J113" s="14" t="s">
        <v>17</v>
      </c>
      <c r="K113" s="12">
        <v>-14</v>
      </c>
      <c r="L113" s="15">
        <f t="shared" si="1"/>
        <v>1.3646861221918993E-2</v>
      </c>
      <c r="M113" s="12">
        <v>28</v>
      </c>
      <c r="N113" s="12">
        <v>433</v>
      </c>
    </row>
    <row r="114" spans="1:14" ht="19.95" customHeight="1" x14ac:dyDescent="0.3">
      <c r="A114" s="2">
        <v>113</v>
      </c>
      <c r="B114" s="3" t="s">
        <v>152</v>
      </c>
      <c r="C114" s="3" t="s">
        <v>153</v>
      </c>
      <c r="D114" s="11" t="s">
        <v>21</v>
      </c>
      <c r="E114" s="5">
        <v>279</v>
      </c>
      <c r="F114" s="6">
        <f>279/793</f>
        <v>0.35182849936948296</v>
      </c>
      <c r="G114" s="7" t="s">
        <v>18</v>
      </c>
      <c r="H114" s="5">
        <v>260</v>
      </c>
      <c r="I114" s="6">
        <f>260/678</f>
        <v>0.38348082595870209</v>
      </c>
      <c r="J114" s="7" t="s">
        <v>18</v>
      </c>
      <c r="K114" s="5">
        <v>-19</v>
      </c>
      <c r="L114" s="8">
        <f t="shared" si="1"/>
        <v>3.1652326589219126E-2</v>
      </c>
      <c r="M114" s="5">
        <v>67</v>
      </c>
      <c r="N114" s="5">
        <v>678</v>
      </c>
    </row>
    <row r="115" spans="1:14" ht="19.95" customHeight="1" x14ac:dyDescent="0.3">
      <c r="A115" s="9">
        <v>114</v>
      </c>
      <c r="B115" s="10" t="s">
        <v>154</v>
      </c>
      <c r="C115" s="10" t="s">
        <v>155</v>
      </c>
      <c r="D115" s="4" t="s">
        <v>16</v>
      </c>
      <c r="E115" s="12">
        <v>80</v>
      </c>
      <c r="F115" s="13">
        <f>80/465</f>
        <v>0.17204301075268819</v>
      </c>
      <c r="G115" s="14" t="s">
        <v>27</v>
      </c>
      <c r="H115" s="12">
        <v>168</v>
      </c>
      <c r="I115" s="13">
        <f>168/400</f>
        <v>0.42</v>
      </c>
      <c r="J115" s="14" t="s">
        <v>18</v>
      </c>
      <c r="K115" s="12">
        <v>88</v>
      </c>
      <c r="L115" s="15">
        <f t="shared" si="1"/>
        <v>0.2479569892473118</v>
      </c>
      <c r="M115" s="12">
        <v>81</v>
      </c>
      <c r="N115" s="12">
        <v>400</v>
      </c>
    </row>
    <row r="116" spans="1:14" ht="19.95" customHeight="1" x14ac:dyDescent="0.3">
      <c r="A116" s="2">
        <v>115</v>
      </c>
      <c r="B116" s="3" t="s">
        <v>156</v>
      </c>
      <c r="C116" s="3" t="s">
        <v>157</v>
      </c>
      <c r="D116" s="4" t="s">
        <v>16</v>
      </c>
      <c r="E116" s="5">
        <v>223</v>
      </c>
      <c r="F116" s="6">
        <f>223/728</f>
        <v>0.30631868131868134</v>
      </c>
      <c r="G116" s="7" t="s">
        <v>17</v>
      </c>
      <c r="H116" s="5">
        <v>373</v>
      </c>
      <c r="I116" s="6">
        <f>373/666</f>
        <v>0.56006006006006004</v>
      </c>
      <c r="J116" s="7" t="s">
        <v>18</v>
      </c>
      <c r="K116" s="5">
        <v>150</v>
      </c>
      <c r="L116" s="8">
        <f t="shared" si="1"/>
        <v>0.2537413787413787</v>
      </c>
      <c r="M116" s="5">
        <v>159</v>
      </c>
      <c r="N116" s="5">
        <v>666</v>
      </c>
    </row>
    <row r="117" spans="1:14" ht="19.95" customHeight="1" x14ac:dyDescent="0.3">
      <c r="A117" s="9">
        <v>116</v>
      </c>
      <c r="B117" s="10" t="s">
        <v>158</v>
      </c>
      <c r="C117" s="10" t="s">
        <v>159</v>
      </c>
      <c r="D117" s="4" t="s">
        <v>16</v>
      </c>
      <c r="E117" s="12">
        <v>94</v>
      </c>
      <c r="F117" s="13">
        <f>94/371</f>
        <v>0.25336927223719674</v>
      </c>
      <c r="G117" s="14" t="s">
        <v>17</v>
      </c>
      <c r="H117" s="12">
        <v>224</v>
      </c>
      <c r="I117" s="13">
        <f>224/368</f>
        <v>0.60869565217391308</v>
      </c>
      <c r="J117" s="14" t="s">
        <v>18</v>
      </c>
      <c r="K117" s="12">
        <v>130</v>
      </c>
      <c r="L117" s="15">
        <f t="shared" si="1"/>
        <v>0.35532637993671634</v>
      </c>
      <c r="M117" s="12">
        <v>143</v>
      </c>
      <c r="N117" s="12">
        <v>368</v>
      </c>
    </row>
    <row r="118" spans="1:14" ht="19.95" customHeight="1" x14ac:dyDescent="0.3">
      <c r="A118" s="2">
        <v>117</v>
      </c>
      <c r="B118" s="3" t="s">
        <v>160</v>
      </c>
      <c r="C118" s="3" t="s">
        <v>161</v>
      </c>
      <c r="D118" s="4" t="s">
        <v>16</v>
      </c>
      <c r="E118" s="5">
        <v>74</v>
      </c>
      <c r="F118" s="6">
        <f>74/313</f>
        <v>0.2364217252396166</v>
      </c>
      <c r="G118" s="7" t="s">
        <v>17</v>
      </c>
      <c r="H118" s="5">
        <v>98</v>
      </c>
      <c r="I118" s="6">
        <f>98/280</f>
        <v>0.35</v>
      </c>
      <c r="J118" s="7" t="s">
        <v>18</v>
      </c>
      <c r="K118" s="5">
        <v>24</v>
      </c>
      <c r="L118" s="8">
        <f t="shared" si="1"/>
        <v>0.11357827476038337</v>
      </c>
      <c r="M118" s="5">
        <v>2</v>
      </c>
      <c r="N118" s="5">
        <v>280</v>
      </c>
    </row>
    <row r="119" spans="1:14" ht="19.95" customHeight="1" x14ac:dyDescent="0.3">
      <c r="A119" s="9">
        <v>118</v>
      </c>
      <c r="B119" s="10" t="s">
        <v>162</v>
      </c>
      <c r="C119" s="10" t="s">
        <v>163</v>
      </c>
      <c r="D119" s="16" t="s">
        <v>26</v>
      </c>
      <c r="E119" s="12">
        <v>107</v>
      </c>
      <c r="F119" s="13">
        <f>107/643</f>
        <v>0.16640746500777606</v>
      </c>
      <c r="G119" s="14" t="s">
        <v>17</v>
      </c>
      <c r="H119" s="12">
        <v>141</v>
      </c>
      <c r="I119" s="13">
        <f>141/557</f>
        <v>0.25314183123877915</v>
      </c>
      <c r="J119" s="14" t="s">
        <v>17</v>
      </c>
      <c r="K119" s="12">
        <v>34</v>
      </c>
      <c r="L119" s="15">
        <f t="shared" si="1"/>
        <v>8.6734366231003085E-2</v>
      </c>
      <c r="M119" s="12">
        <v>117</v>
      </c>
      <c r="N119" s="12">
        <v>557</v>
      </c>
    </row>
    <row r="120" spans="1:14" ht="19.95" customHeight="1" x14ac:dyDescent="0.3">
      <c r="A120" s="2">
        <v>119</v>
      </c>
      <c r="B120" s="3" t="s">
        <v>164</v>
      </c>
      <c r="C120" s="3" t="s">
        <v>165</v>
      </c>
      <c r="D120" s="11" t="s">
        <v>21</v>
      </c>
      <c r="E120" s="5">
        <v>189</v>
      </c>
      <c r="F120" s="6">
        <f>189/580</f>
        <v>0.32586206896551723</v>
      </c>
      <c r="G120" s="7" t="s">
        <v>18</v>
      </c>
      <c r="H120" s="5">
        <v>274</v>
      </c>
      <c r="I120" s="6">
        <f>274/542</f>
        <v>0.50553505535055354</v>
      </c>
      <c r="J120" s="7" t="s">
        <v>18</v>
      </c>
      <c r="K120" s="5">
        <v>85</v>
      </c>
      <c r="L120" s="8">
        <f t="shared" si="1"/>
        <v>0.17967298638503632</v>
      </c>
      <c r="M120" s="5">
        <v>141</v>
      </c>
      <c r="N120" s="5">
        <v>542</v>
      </c>
    </row>
    <row r="121" spans="1:14" ht="19.95" customHeight="1" x14ac:dyDescent="0.3">
      <c r="A121" s="9">
        <v>120</v>
      </c>
      <c r="B121" s="10" t="s">
        <v>164</v>
      </c>
      <c r="C121" s="10" t="s">
        <v>165</v>
      </c>
      <c r="D121" s="4" t="s">
        <v>16</v>
      </c>
      <c r="E121" s="12">
        <v>132</v>
      </c>
      <c r="F121" s="13">
        <f>132/559</f>
        <v>0.23613595706618962</v>
      </c>
      <c r="G121" s="14" t="s">
        <v>17</v>
      </c>
      <c r="H121" s="12">
        <v>238</v>
      </c>
      <c r="I121" s="13">
        <f>238/494</f>
        <v>0.48178137651821862</v>
      </c>
      <c r="J121" s="14" t="s">
        <v>18</v>
      </c>
      <c r="K121" s="12">
        <v>106</v>
      </c>
      <c r="L121" s="15">
        <f t="shared" si="1"/>
        <v>0.245645419452029</v>
      </c>
      <c r="M121" s="12">
        <v>82</v>
      </c>
      <c r="N121" s="12">
        <v>494</v>
      </c>
    </row>
    <row r="122" spans="1:14" ht="19.95" customHeight="1" x14ac:dyDescent="0.3">
      <c r="A122" s="2">
        <v>121</v>
      </c>
      <c r="B122" s="3" t="s">
        <v>166</v>
      </c>
      <c r="C122" s="3" t="s">
        <v>167</v>
      </c>
      <c r="D122" s="16" t="s">
        <v>26</v>
      </c>
      <c r="E122" s="5">
        <v>95</v>
      </c>
      <c r="F122" s="6">
        <f>95/318</f>
        <v>0.29874213836477986</v>
      </c>
      <c r="G122" s="7" t="s">
        <v>17</v>
      </c>
      <c r="H122" s="5">
        <v>79</v>
      </c>
      <c r="I122" s="6">
        <f>79/322</f>
        <v>0.24534161490683229</v>
      </c>
      <c r="J122" s="7" t="s">
        <v>66</v>
      </c>
      <c r="K122" s="5">
        <v>-16</v>
      </c>
      <c r="L122" s="8">
        <f t="shared" si="1"/>
        <v>-5.3400523457947574E-2</v>
      </c>
      <c r="M122" s="5">
        <v>92</v>
      </c>
      <c r="N122" s="5">
        <v>322</v>
      </c>
    </row>
    <row r="123" spans="1:14" ht="19.95" customHeight="1" x14ac:dyDescent="0.3">
      <c r="A123" s="9">
        <v>122</v>
      </c>
      <c r="B123" s="10" t="s">
        <v>168</v>
      </c>
      <c r="C123" s="10" t="s">
        <v>169</v>
      </c>
      <c r="D123" s="16" t="s">
        <v>26</v>
      </c>
      <c r="E123" s="12">
        <v>141</v>
      </c>
      <c r="F123" s="13">
        <f>141/636</f>
        <v>0.22169811320754718</v>
      </c>
      <c r="G123" s="14" t="s">
        <v>17</v>
      </c>
      <c r="H123" s="12">
        <v>160</v>
      </c>
      <c r="I123" s="13">
        <f>160/521</f>
        <v>0.30710172744721687</v>
      </c>
      <c r="J123" s="14" t="s">
        <v>17</v>
      </c>
      <c r="K123" s="12">
        <v>19</v>
      </c>
      <c r="L123" s="15">
        <f t="shared" si="1"/>
        <v>8.540361423966969E-2</v>
      </c>
      <c r="M123" s="12">
        <v>82</v>
      </c>
      <c r="N123" s="12">
        <v>521</v>
      </c>
    </row>
    <row r="124" spans="1:14" ht="19.95" customHeight="1" x14ac:dyDescent="0.3">
      <c r="A124" s="2">
        <v>123</v>
      </c>
      <c r="B124" s="3" t="s">
        <v>168</v>
      </c>
      <c r="C124" s="3" t="s">
        <v>169</v>
      </c>
      <c r="D124" s="4" t="s">
        <v>16</v>
      </c>
      <c r="E124" s="5">
        <v>89</v>
      </c>
      <c r="F124" s="6">
        <f>89/333</f>
        <v>0.26726726726726729</v>
      </c>
      <c r="G124" s="7" t="s">
        <v>17</v>
      </c>
      <c r="H124" s="5">
        <v>150</v>
      </c>
      <c r="I124" s="6">
        <f>150/340</f>
        <v>0.44117647058823528</v>
      </c>
      <c r="J124" s="7" t="s">
        <v>18</v>
      </c>
      <c r="K124" s="5">
        <v>61</v>
      </c>
      <c r="L124" s="8">
        <f t="shared" si="1"/>
        <v>0.17390920332096799</v>
      </c>
      <c r="M124" s="5">
        <v>29</v>
      </c>
      <c r="N124" s="5">
        <v>340</v>
      </c>
    </row>
    <row r="125" spans="1:14" ht="19.95" customHeight="1" x14ac:dyDescent="0.3">
      <c r="A125" s="9">
        <v>124</v>
      </c>
      <c r="B125" s="10" t="s">
        <v>170</v>
      </c>
      <c r="C125" s="10" t="s">
        <v>171</v>
      </c>
      <c r="D125" s="16" t="s">
        <v>26</v>
      </c>
      <c r="E125" s="12">
        <v>66</v>
      </c>
      <c r="F125" s="13">
        <f>66/271</f>
        <v>0.24354243542435425</v>
      </c>
      <c r="G125" s="14" t="s">
        <v>17</v>
      </c>
      <c r="H125" s="12">
        <v>69</v>
      </c>
      <c r="I125" s="13">
        <f>69/268</f>
        <v>0.2574626865671642</v>
      </c>
      <c r="J125" s="14" t="s">
        <v>66</v>
      </c>
      <c r="K125" s="12">
        <v>3</v>
      </c>
      <c r="L125" s="15">
        <f t="shared" si="1"/>
        <v>1.3920251142809953E-2</v>
      </c>
      <c r="M125" s="12">
        <v>46</v>
      </c>
      <c r="N125" s="12">
        <v>268</v>
      </c>
    </row>
    <row r="126" spans="1:14" ht="19.95" customHeight="1" x14ac:dyDescent="0.3">
      <c r="A126" s="2">
        <v>125</v>
      </c>
      <c r="B126" s="3" t="s">
        <v>172</v>
      </c>
      <c r="C126" s="3" t="s">
        <v>173</v>
      </c>
      <c r="D126" s="4" t="s">
        <v>16</v>
      </c>
      <c r="E126" s="5">
        <v>116</v>
      </c>
      <c r="F126" s="6">
        <f>116/474</f>
        <v>0.24472573839662448</v>
      </c>
      <c r="G126" s="7" t="s">
        <v>17</v>
      </c>
      <c r="H126" s="5">
        <v>164</v>
      </c>
      <c r="I126" s="6">
        <f>164/451</f>
        <v>0.36363636363636365</v>
      </c>
      <c r="J126" s="7" t="s">
        <v>18</v>
      </c>
      <c r="K126" s="5">
        <v>48</v>
      </c>
      <c r="L126" s="8">
        <f t="shared" si="1"/>
        <v>0.11891062523973916</v>
      </c>
      <c r="M126" s="5">
        <v>2</v>
      </c>
      <c r="N126" s="5">
        <v>451</v>
      </c>
    </row>
    <row r="127" spans="1:14" ht="19.95" customHeight="1" x14ac:dyDescent="0.3">
      <c r="A127" s="9">
        <v>126</v>
      </c>
      <c r="B127" s="10" t="s">
        <v>174</v>
      </c>
      <c r="C127" s="10" t="s">
        <v>175</v>
      </c>
      <c r="D127" s="4" t="s">
        <v>16</v>
      </c>
      <c r="E127" s="12">
        <v>128</v>
      </c>
      <c r="F127" s="13">
        <f>128/705</f>
        <v>0.18156028368794327</v>
      </c>
      <c r="G127" s="14" t="s">
        <v>27</v>
      </c>
      <c r="H127" s="12">
        <v>388</v>
      </c>
      <c r="I127" s="13">
        <f>388/642</f>
        <v>0.60436137071651086</v>
      </c>
      <c r="J127" s="14" t="s">
        <v>18</v>
      </c>
      <c r="K127" s="12">
        <v>260</v>
      </c>
      <c r="L127" s="15">
        <f t="shared" si="1"/>
        <v>0.42280108702856756</v>
      </c>
      <c r="M127" s="12">
        <v>225</v>
      </c>
      <c r="N127" s="12">
        <v>642</v>
      </c>
    </row>
    <row r="128" spans="1:14" ht="19.95" customHeight="1" x14ac:dyDescent="0.3">
      <c r="A128" s="2">
        <v>127</v>
      </c>
      <c r="B128" s="3" t="s">
        <v>176</v>
      </c>
      <c r="C128" s="3" t="s">
        <v>177</v>
      </c>
      <c r="D128" s="16" t="s">
        <v>26</v>
      </c>
      <c r="E128" s="5">
        <v>143</v>
      </c>
      <c r="F128" s="6">
        <f>143/754</f>
        <v>0.18965517241379309</v>
      </c>
      <c r="G128" s="7" t="s">
        <v>17</v>
      </c>
      <c r="H128" s="5">
        <v>200</v>
      </c>
      <c r="I128" s="6">
        <f>200/706</f>
        <v>0.28328611898016998</v>
      </c>
      <c r="J128" s="7" t="s">
        <v>17</v>
      </c>
      <c r="K128" s="5">
        <v>57</v>
      </c>
      <c r="L128" s="8">
        <f t="shared" si="1"/>
        <v>9.3630946566376883E-2</v>
      </c>
      <c r="M128" s="5">
        <v>98</v>
      </c>
      <c r="N128" s="5">
        <v>706</v>
      </c>
    </row>
    <row r="129" spans="1:14" ht="19.95" customHeight="1" x14ac:dyDescent="0.3">
      <c r="A129" s="9">
        <v>128</v>
      </c>
      <c r="B129" s="10" t="s">
        <v>178</v>
      </c>
      <c r="C129" s="10" t="s">
        <v>179</v>
      </c>
      <c r="D129" s="16" t="s">
        <v>26</v>
      </c>
      <c r="E129" s="12">
        <v>104</v>
      </c>
      <c r="F129" s="13">
        <f>104/389</f>
        <v>0.26735218508997427</v>
      </c>
      <c r="G129" s="14" t="s">
        <v>17</v>
      </c>
      <c r="H129" s="12">
        <v>121</v>
      </c>
      <c r="I129" s="13">
        <f>121/371</f>
        <v>0.32614555256064692</v>
      </c>
      <c r="J129" s="14" t="s">
        <v>17</v>
      </c>
      <c r="K129" s="12">
        <v>17</v>
      </c>
      <c r="L129" s="15">
        <f t="shared" si="1"/>
        <v>5.8793367470672653E-2</v>
      </c>
      <c r="M129" s="12">
        <v>44</v>
      </c>
      <c r="N129" s="12">
        <v>371</v>
      </c>
    </row>
    <row r="130" spans="1:14" ht="19.95" customHeight="1" x14ac:dyDescent="0.3">
      <c r="A130" s="2">
        <v>129</v>
      </c>
      <c r="B130" s="3" t="s">
        <v>180</v>
      </c>
      <c r="C130" s="3" t="s">
        <v>181</v>
      </c>
      <c r="D130" s="4" t="s">
        <v>16</v>
      </c>
      <c r="E130" s="5">
        <v>86</v>
      </c>
      <c r="F130" s="6">
        <f>86/343</f>
        <v>0.25072886297376096</v>
      </c>
      <c r="G130" s="7" t="s">
        <v>17</v>
      </c>
      <c r="H130" s="5">
        <v>171</v>
      </c>
      <c r="I130" s="6">
        <f>171/347</f>
        <v>0.49279538904899134</v>
      </c>
      <c r="J130" s="7" t="s">
        <v>18</v>
      </c>
      <c r="K130" s="5">
        <v>85</v>
      </c>
      <c r="L130" s="8">
        <f t="shared" ref="L130:L193" si="2">I130-F130</f>
        <v>0.24206652607523038</v>
      </c>
      <c r="M130" s="5">
        <v>34</v>
      </c>
      <c r="N130" s="5">
        <v>347</v>
      </c>
    </row>
    <row r="131" spans="1:14" ht="19.95" customHeight="1" x14ac:dyDescent="0.3">
      <c r="A131" s="9">
        <v>130</v>
      </c>
      <c r="B131" s="10" t="s">
        <v>182</v>
      </c>
      <c r="C131" s="10" t="s">
        <v>183</v>
      </c>
      <c r="D131" s="11" t="s">
        <v>21</v>
      </c>
      <c r="E131" s="12">
        <v>210</v>
      </c>
      <c r="F131" s="13">
        <f>210/524</f>
        <v>0.40076335877862596</v>
      </c>
      <c r="G131" s="14" t="s">
        <v>18</v>
      </c>
      <c r="H131" s="12">
        <v>246</v>
      </c>
      <c r="I131" s="13">
        <f>246/478</f>
        <v>0.5146443514644351</v>
      </c>
      <c r="J131" s="14" t="s">
        <v>18</v>
      </c>
      <c r="K131" s="12">
        <v>36</v>
      </c>
      <c r="L131" s="15">
        <f t="shared" si="2"/>
        <v>0.11388099268580915</v>
      </c>
      <c r="M131" s="12">
        <v>104</v>
      </c>
      <c r="N131" s="12">
        <v>478</v>
      </c>
    </row>
    <row r="132" spans="1:14" ht="19.95" customHeight="1" x14ac:dyDescent="0.3">
      <c r="A132" s="2">
        <v>131</v>
      </c>
      <c r="B132" s="3" t="s">
        <v>184</v>
      </c>
      <c r="C132" s="3" t="s">
        <v>185</v>
      </c>
      <c r="D132" s="4" t="s">
        <v>16</v>
      </c>
      <c r="E132" s="5">
        <v>210</v>
      </c>
      <c r="F132" s="6">
        <f>210/668</f>
        <v>0.31437125748502992</v>
      </c>
      <c r="G132" s="7" t="s">
        <v>17</v>
      </c>
      <c r="H132" s="5">
        <v>204</v>
      </c>
      <c r="I132" s="6">
        <f>204/578</f>
        <v>0.35294117647058826</v>
      </c>
      <c r="J132" s="7" t="s">
        <v>18</v>
      </c>
      <c r="K132" s="5">
        <v>-6</v>
      </c>
      <c r="L132" s="8">
        <f t="shared" si="2"/>
        <v>3.8569918985558338E-2</v>
      </c>
      <c r="M132" s="5">
        <v>22</v>
      </c>
      <c r="N132" s="5">
        <v>578</v>
      </c>
    </row>
    <row r="133" spans="1:14" ht="19.95" customHeight="1" x14ac:dyDescent="0.3">
      <c r="A133" s="9">
        <v>132</v>
      </c>
      <c r="B133" s="10" t="s">
        <v>186</v>
      </c>
      <c r="C133" s="10" t="s">
        <v>187</v>
      </c>
      <c r="D133" s="17" t="s">
        <v>36</v>
      </c>
      <c r="E133" s="12">
        <v>110</v>
      </c>
      <c r="F133" s="13">
        <f>110/446</f>
        <v>0.24663677130044842</v>
      </c>
      <c r="G133" s="14" t="s">
        <v>17</v>
      </c>
      <c r="H133" s="12">
        <v>31</v>
      </c>
      <c r="I133" s="13">
        <f>31/408</f>
        <v>7.5980392156862739E-2</v>
      </c>
      <c r="J133" s="14" t="s">
        <v>17</v>
      </c>
      <c r="K133" s="12">
        <v>-79</v>
      </c>
      <c r="L133" s="15">
        <f t="shared" si="2"/>
        <v>-0.17065637914358567</v>
      </c>
      <c r="M133" s="12">
        <v>294</v>
      </c>
      <c r="N133" s="12">
        <v>408</v>
      </c>
    </row>
    <row r="134" spans="1:14" ht="19.95" customHeight="1" x14ac:dyDescent="0.3">
      <c r="A134" s="2">
        <v>133</v>
      </c>
      <c r="B134" s="3" t="s">
        <v>188</v>
      </c>
      <c r="C134" s="3" t="s">
        <v>189</v>
      </c>
      <c r="D134" s="18" t="s">
        <v>43</v>
      </c>
      <c r="E134" s="5">
        <v>216</v>
      </c>
      <c r="F134" s="6">
        <f>216/560</f>
        <v>0.38571428571428573</v>
      </c>
      <c r="G134" s="7" t="s">
        <v>18</v>
      </c>
      <c r="H134" s="5">
        <v>160</v>
      </c>
      <c r="I134" s="6">
        <f>160/550</f>
        <v>0.29090909090909089</v>
      </c>
      <c r="J134" s="7" t="s">
        <v>17</v>
      </c>
      <c r="K134" s="5">
        <v>-56</v>
      </c>
      <c r="L134" s="8">
        <f t="shared" si="2"/>
        <v>-9.4805194805194837E-2</v>
      </c>
      <c r="M134" s="5">
        <v>59</v>
      </c>
      <c r="N134" s="5">
        <v>550</v>
      </c>
    </row>
    <row r="135" spans="1:14" ht="19.95" customHeight="1" x14ac:dyDescent="0.3">
      <c r="A135" s="9">
        <v>134</v>
      </c>
      <c r="B135" s="10" t="s">
        <v>188</v>
      </c>
      <c r="C135" s="10" t="s">
        <v>189</v>
      </c>
      <c r="D135" s="16" t="s">
        <v>26</v>
      </c>
      <c r="E135" s="12">
        <v>161</v>
      </c>
      <c r="F135" s="13">
        <f>161/488</f>
        <v>0.32991803278688525</v>
      </c>
      <c r="G135" s="14" t="s">
        <v>17</v>
      </c>
      <c r="H135" s="12">
        <v>104</v>
      </c>
      <c r="I135" s="13">
        <f>104/443</f>
        <v>0.23476297968397292</v>
      </c>
      <c r="J135" s="14" t="s">
        <v>17</v>
      </c>
      <c r="K135" s="12">
        <v>-57</v>
      </c>
      <c r="L135" s="15">
        <f t="shared" si="2"/>
        <v>-9.5155053102912335E-2</v>
      </c>
      <c r="M135" s="12">
        <v>105</v>
      </c>
      <c r="N135" s="12">
        <v>443</v>
      </c>
    </row>
    <row r="136" spans="1:14" ht="19.95" customHeight="1" x14ac:dyDescent="0.3">
      <c r="A136" s="2">
        <v>135</v>
      </c>
      <c r="B136" s="3" t="s">
        <v>190</v>
      </c>
      <c r="C136" s="3" t="s">
        <v>191</v>
      </c>
      <c r="D136" s="4" t="s">
        <v>16</v>
      </c>
      <c r="E136" s="5">
        <v>191</v>
      </c>
      <c r="F136" s="6">
        <f>191/585</f>
        <v>0.3264957264957265</v>
      </c>
      <c r="G136" s="7" t="s">
        <v>17</v>
      </c>
      <c r="H136" s="5">
        <v>228</v>
      </c>
      <c r="I136" s="6">
        <f>228/539</f>
        <v>0.42300556586270871</v>
      </c>
      <c r="J136" s="7" t="s">
        <v>18</v>
      </c>
      <c r="K136" s="5">
        <v>37</v>
      </c>
      <c r="L136" s="8">
        <f t="shared" si="2"/>
        <v>9.6509839366982209E-2</v>
      </c>
      <c r="M136" s="5">
        <v>87</v>
      </c>
      <c r="N136" s="5">
        <v>539</v>
      </c>
    </row>
    <row r="137" spans="1:14" ht="19.95" customHeight="1" x14ac:dyDescent="0.3">
      <c r="A137" s="9">
        <v>136</v>
      </c>
      <c r="B137" s="10" t="s">
        <v>192</v>
      </c>
      <c r="C137" s="10" t="s">
        <v>193</v>
      </c>
      <c r="D137" s="16" t="s">
        <v>26</v>
      </c>
      <c r="E137" s="12">
        <v>88</v>
      </c>
      <c r="F137" s="13">
        <f>88/483</f>
        <v>0.18219461697722567</v>
      </c>
      <c r="G137" s="14" t="s">
        <v>17</v>
      </c>
      <c r="H137" s="12">
        <v>175</v>
      </c>
      <c r="I137" s="13">
        <f>175/471</f>
        <v>0.37154989384288745</v>
      </c>
      <c r="J137" s="14" t="s">
        <v>17</v>
      </c>
      <c r="K137" s="12">
        <v>87</v>
      </c>
      <c r="L137" s="15">
        <f t="shared" si="2"/>
        <v>0.18935527686566178</v>
      </c>
      <c r="M137" s="12">
        <v>61</v>
      </c>
      <c r="N137" s="12">
        <v>471</v>
      </c>
    </row>
    <row r="138" spans="1:14" ht="19.95" customHeight="1" x14ac:dyDescent="0.3">
      <c r="A138" s="2">
        <v>137</v>
      </c>
      <c r="B138" s="3" t="s">
        <v>194</v>
      </c>
      <c r="C138" s="3" t="s">
        <v>195</v>
      </c>
      <c r="D138" s="16" t="s">
        <v>26</v>
      </c>
      <c r="E138" s="5">
        <v>206</v>
      </c>
      <c r="F138" s="6">
        <f>206/544</f>
        <v>0.37867647058823528</v>
      </c>
      <c r="G138" s="7" t="s">
        <v>17</v>
      </c>
      <c r="H138" s="5">
        <v>134</v>
      </c>
      <c r="I138" s="6">
        <f>134/463</f>
        <v>0.2894168466522678</v>
      </c>
      <c r="J138" s="7" t="s">
        <v>17</v>
      </c>
      <c r="K138" s="5">
        <v>-72</v>
      </c>
      <c r="L138" s="8">
        <f t="shared" si="2"/>
        <v>-8.925962393596748E-2</v>
      </c>
      <c r="M138" s="5">
        <v>28</v>
      </c>
      <c r="N138" s="5">
        <v>463</v>
      </c>
    </row>
    <row r="139" spans="1:14" ht="19.95" customHeight="1" x14ac:dyDescent="0.3">
      <c r="A139" s="9">
        <v>138</v>
      </c>
      <c r="B139" s="10" t="s">
        <v>196</v>
      </c>
      <c r="C139" s="10" t="s">
        <v>197</v>
      </c>
      <c r="D139" s="4" t="s">
        <v>16</v>
      </c>
      <c r="E139" s="12">
        <v>228</v>
      </c>
      <c r="F139" s="13">
        <f>228/746</f>
        <v>0.30563002680965146</v>
      </c>
      <c r="G139" s="14" t="s">
        <v>17</v>
      </c>
      <c r="H139" s="12">
        <v>298</v>
      </c>
      <c r="I139" s="13">
        <f>298/714</f>
        <v>0.4173669467787115</v>
      </c>
      <c r="J139" s="14" t="s">
        <v>18</v>
      </c>
      <c r="K139" s="12">
        <v>70</v>
      </c>
      <c r="L139" s="15">
        <f t="shared" si="2"/>
        <v>0.11173691996906004</v>
      </c>
      <c r="M139" s="12">
        <v>24</v>
      </c>
      <c r="N139" s="12">
        <v>714</v>
      </c>
    </row>
    <row r="140" spans="1:14" ht="19.95" customHeight="1" x14ac:dyDescent="0.3">
      <c r="A140" s="2">
        <v>139</v>
      </c>
      <c r="B140" s="3" t="s">
        <v>198</v>
      </c>
      <c r="C140" s="3" t="s">
        <v>199</v>
      </c>
      <c r="D140" s="16" t="s">
        <v>26</v>
      </c>
      <c r="E140" s="5">
        <v>158</v>
      </c>
      <c r="F140" s="6">
        <f>158/513</f>
        <v>0.30799220272904482</v>
      </c>
      <c r="G140" s="7" t="s">
        <v>27</v>
      </c>
      <c r="H140" s="5">
        <v>118</v>
      </c>
      <c r="I140" s="6">
        <f>118/399</f>
        <v>0.2957393483709273</v>
      </c>
      <c r="J140" s="7" t="s">
        <v>17</v>
      </c>
      <c r="K140" s="5">
        <v>-40</v>
      </c>
      <c r="L140" s="8">
        <f t="shared" si="2"/>
        <v>-1.2252854358117515E-2</v>
      </c>
      <c r="M140" s="5">
        <v>32</v>
      </c>
      <c r="N140" s="5">
        <v>399</v>
      </c>
    </row>
    <row r="141" spans="1:14" ht="19.95" customHeight="1" x14ac:dyDescent="0.3">
      <c r="A141" s="9">
        <v>140</v>
      </c>
      <c r="B141" s="10" t="s">
        <v>200</v>
      </c>
      <c r="C141" s="10" t="s">
        <v>201</v>
      </c>
      <c r="D141" s="17" t="s">
        <v>36</v>
      </c>
      <c r="E141" s="12">
        <v>211</v>
      </c>
      <c r="F141" s="13">
        <f>211/605</f>
        <v>0.34876033057851241</v>
      </c>
      <c r="G141" s="14" t="s">
        <v>17</v>
      </c>
      <c r="H141" s="12">
        <v>106</v>
      </c>
      <c r="I141" s="13">
        <f>106/580</f>
        <v>0.18275862068965518</v>
      </c>
      <c r="J141" s="14" t="s">
        <v>17</v>
      </c>
      <c r="K141" s="12">
        <v>-105</v>
      </c>
      <c r="L141" s="15">
        <f t="shared" si="2"/>
        <v>-0.16600170988885724</v>
      </c>
      <c r="M141" s="12">
        <v>122</v>
      </c>
      <c r="N141" s="12">
        <v>580</v>
      </c>
    </row>
    <row r="142" spans="1:14" ht="19.95" customHeight="1" x14ac:dyDescent="0.3">
      <c r="A142" s="2">
        <v>141</v>
      </c>
      <c r="B142" s="3" t="s">
        <v>200</v>
      </c>
      <c r="C142" s="3" t="s">
        <v>201</v>
      </c>
      <c r="D142" s="16" t="s">
        <v>26</v>
      </c>
      <c r="E142" s="5">
        <v>195</v>
      </c>
      <c r="F142" s="6">
        <f>195/594</f>
        <v>0.32828282828282829</v>
      </c>
      <c r="G142" s="7" t="s">
        <v>17</v>
      </c>
      <c r="H142" s="5">
        <v>175</v>
      </c>
      <c r="I142" s="6">
        <f>175/548</f>
        <v>0.31934306569343068</v>
      </c>
      <c r="J142" s="7" t="s">
        <v>17</v>
      </c>
      <c r="K142" s="5">
        <v>-20</v>
      </c>
      <c r="L142" s="8">
        <f t="shared" si="2"/>
        <v>-8.939762589397604E-3</v>
      </c>
      <c r="M142" s="5">
        <v>13</v>
      </c>
      <c r="N142" s="5">
        <v>548</v>
      </c>
    </row>
    <row r="143" spans="1:14" ht="19.95" customHeight="1" x14ac:dyDescent="0.3">
      <c r="A143" s="9">
        <v>142</v>
      </c>
      <c r="B143" s="10" t="s">
        <v>202</v>
      </c>
      <c r="C143" s="10" t="s">
        <v>203</v>
      </c>
      <c r="D143" s="4" t="s">
        <v>16</v>
      </c>
      <c r="E143" s="12">
        <v>249</v>
      </c>
      <c r="F143" s="13">
        <f>249/703</f>
        <v>0.35419630156472259</v>
      </c>
      <c r="G143" s="14" t="s">
        <v>27</v>
      </c>
      <c r="H143" s="12">
        <v>252</v>
      </c>
      <c r="I143" s="13">
        <f>252/628</f>
        <v>0.40127388535031849</v>
      </c>
      <c r="J143" s="14" t="s">
        <v>18</v>
      </c>
      <c r="K143" s="12">
        <v>3</v>
      </c>
      <c r="L143" s="15">
        <f t="shared" si="2"/>
        <v>4.70775837855959E-2</v>
      </c>
      <c r="M143" s="12">
        <v>120</v>
      </c>
      <c r="N143" s="12">
        <v>628</v>
      </c>
    </row>
    <row r="144" spans="1:14" ht="19.95" customHeight="1" x14ac:dyDescent="0.3">
      <c r="A144" s="2">
        <v>143</v>
      </c>
      <c r="B144" s="3" t="s">
        <v>204</v>
      </c>
      <c r="C144" s="3" t="s">
        <v>205</v>
      </c>
      <c r="D144" s="17" t="s">
        <v>36</v>
      </c>
      <c r="E144" s="5">
        <v>152</v>
      </c>
      <c r="F144" s="6">
        <f>152/471</f>
        <v>0.32271762208067939</v>
      </c>
      <c r="G144" s="7" t="s">
        <v>27</v>
      </c>
      <c r="H144" s="5">
        <v>85</v>
      </c>
      <c r="I144" s="6">
        <f>85/443</f>
        <v>0.19187358916478556</v>
      </c>
      <c r="J144" s="7" t="s">
        <v>66</v>
      </c>
      <c r="K144" s="5">
        <v>-67</v>
      </c>
      <c r="L144" s="8">
        <f t="shared" si="2"/>
        <v>-0.13084403291589383</v>
      </c>
      <c r="M144" s="5">
        <v>47</v>
      </c>
      <c r="N144" s="5">
        <v>443</v>
      </c>
    </row>
    <row r="145" spans="1:14" ht="19.95" customHeight="1" x14ac:dyDescent="0.3">
      <c r="A145" s="9">
        <v>144</v>
      </c>
      <c r="B145" s="10" t="s">
        <v>206</v>
      </c>
      <c r="C145" s="10" t="s">
        <v>207</v>
      </c>
      <c r="D145" s="4" t="s">
        <v>16</v>
      </c>
      <c r="E145" s="12">
        <v>52</v>
      </c>
      <c r="F145" s="13">
        <f>52/825</f>
        <v>6.3030303030303034E-2</v>
      </c>
      <c r="G145" s="14" t="s">
        <v>17</v>
      </c>
      <c r="H145" s="12">
        <v>700</v>
      </c>
      <c r="I145" s="13">
        <f>700/815</f>
        <v>0.85889570552147243</v>
      </c>
      <c r="J145" s="14" t="s">
        <v>18</v>
      </c>
      <c r="K145" s="12">
        <v>648</v>
      </c>
      <c r="L145" s="15">
        <f t="shared" si="2"/>
        <v>0.79586540249116944</v>
      </c>
      <c r="M145" s="12">
        <v>622</v>
      </c>
      <c r="N145" s="12">
        <v>815</v>
      </c>
    </row>
    <row r="146" spans="1:14" ht="19.95" customHeight="1" x14ac:dyDescent="0.3">
      <c r="A146" s="2">
        <v>145</v>
      </c>
      <c r="B146" s="3" t="s">
        <v>208</v>
      </c>
      <c r="C146" s="3" t="s">
        <v>209</v>
      </c>
      <c r="D146" s="11" t="s">
        <v>21</v>
      </c>
      <c r="E146" s="5">
        <v>354</v>
      </c>
      <c r="F146" s="6">
        <f>354/663</f>
        <v>0.5339366515837104</v>
      </c>
      <c r="G146" s="7" t="s">
        <v>18</v>
      </c>
      <c r="H146" s="5">
        <v>258</v>
      </c>
      <c r="I146" s="6">
        <f>258/551</f>
        <v>0.46823956442831216</v>
      </c>
      <c r="J146" s="7" t="s">
        <v>18</v>
      </c>
      <c r="K146" s="5">
        <v>-96</v>
      </c>
      <c r="L146" s="8">
        <f t="shared" si="2"/>
        <v>-6.5697087155398237E-2</v>
      </c>
      <c r="M146" s="5">
        <v>102</v>
      </c>
      <c r="N146" s="5">
        <v>551</v>
      </c>
    </row>
    <row r="147" spans="1:14" ht="19.95" customHeight="1" x14ac:dyDescent="0.3">
      <c r="A147" s="9">
        <v>146</v>
      </c>
      <c r="B147" s="10" t="s">
        <v>210</v>
      </c>
      <c r="C147" s="10" t="s">
        <v>211</v>
      </c>
      <c r="D147" s="18" t="s">
        <v>65</v>
      </c>
      <c r="E147" s="12">
        <v>202</v>
      </c>
      <c r="F147" s="13">
        <f>202/414</f>
        <v>0.48792270531400966</v>
      </c>
      <c r="G147" s="14" t="s">
        <v>18</v>
      </c>
      <c r="H147" s="12">
        <v>99</v>
      </c>
      <c r="I147" s="13">
        <f>99/366</f>
        <v>0.27049180327868855</v>
      </c>
      <c r="J147" s="14" t="s">
        <v>66</v>
      </c>
      <c r="K147" s="12">
        <v>-103</v>
      </c>
      <c r="L147" s="15">
        <f t="shared" si="2"/>
        <v>-0.21743090203532112</v>
      </c>
      <c r="M147" s="12">
        <v>22</v>
      </c>
      <c r="N147" s="12">
        <v>366</v>
      </c>
    </row>
    <row r="148" spans="1:14" ht="19.95" customHeight="1" x14ac:dyDescent="0.3">
      <c r="A148" s="2">
        <v>147</v>
      </c>
      <c r="B148" s="3" t="s">
        <v>212</v>
      </c>
      <c r="C148" s="3" t="s">
        <v>213</v>
      </c>
      <c r="D148" s="17" t="s">
        <v>36</v>
      </c>
      <c r="E148" s="5">
        <v>111</v>
      </c>
      <c r="F148" s="6">
        <f>111/434</f>
        <v>0.25576036866359447</v>
      </c>
      <c r="G148" s="7" t="s">
        <v>17</v>
      </c>
      <c r="H148" s="5">
        <v>80</v>
      </c>
      <c r="I148" s="6">
        <f>80/407</f>
        <v>0.19656019656019655</v>
      </c>
      <c r="J148" s="7" t="s">
        <v>17</v>
      </c>
      <c r="K148" s="5">
        <v>-31</v>
      </c>
      <c r="L148" s="8">
        <f t="shared" si="2"/>
        <v>-5.9200172103397924E-2</v>
      </c>
      <c r="M148" s="5">
        <v>100</v>
      </c>
      <c r="N148" s="5">
        <v>407</v>
      </c>
    </row>
    <row r="149" spans="1:14" ht="19.95" customHeight="1" x14ac:dyDescent="0.3">
      <c r="A149" s="9">
        <v>148</v>
      </c>
      <c r="B149" s="10" t="s">
        <v>212</v>
      </c>
      <c r="C149" s="10" t="s">
        <v>213</v>
      </c>
      <c r="D149" s="16" t="s">
        <v>26</v>
      </c>
      <c r="E149" s="12">
        <v>137</v>
      </c>
      <c r="F149" s="13">
        <f>137/500</f>
        <v>0.27400000000000002</v>
      </c>
      <c r="G149" s="14" t="s">
        <v>17</v>
      </c>
      <c r="H149" s="12">
        <v>113</v>
      </c>
      <c r="I149" s="13">
        <f>113/445</f>
        <v>0.25393258426966292</v>
      </c>
      <c r="J149" s="14" t="s">
        <v>17</v>
      </c>
      <c r="K149" s="12">
        <v>-24</v>
      </c>
      <c r="L149" s="15">
        <f t="shared" si="2"/>
        <v>-2.0067415730337101E-2</v>
      </c>
      <c r="M149" s="12">
        <v>72</v>
      </c>
      <c r="N149" s="12">
        <v>445</v>
      </c>
    </row>
    <row r="150" spans="1:14" ht="19.95" customHeight="1" x14ac:dyDescent="0.3">
      <c r="A150" s="2">
        <v>149</v>
      </c>
      <c r="B150" s="3" t="s">
        <v>214</v>
      </c>
      <c r="C150" s="3" t="s">
        <v>215</v>
      </c>
      <c r="D150" s="16" t="s">
        <v>26</v>
      </c>
      <c r="E150" s="5">
        <v>317</v>
      </c>
      <c r="F150" s="6">
        <f>317/799</f>
        <v>0.39674593241551942</v>
      </c>
      <c r="G150" s="7" t="s">
        <v>17</v>
      </c>
      <c r="H150" s="5">
        <v>205</v>
      </c>
      <c r="I150" s="6">
        <f>205/717</f>
        <v>0.28591352859135288</v>
      </c>
      <c r="J150" s="7" t="s">
        <v>17</v>
      </c>
      <c r="K150" s="5">
        <v>-112</v>
      </c>
      <c r="L150" s="8">
        <f t="shared" si="2"/>
        <v>-0.11083240382416654</v>
      </c>
      <c r="M150" s="5">
        <v>56</v>
      </c>
      <c r="N150" s="5">
        <v>717</v>
      </c>
    </row>
    <row r="151" spans="1:14" ht="19.95" customHeight="1" x14ac:dyDescent="0.3">
      <c r="A151" s="9">
        <v>150</v>
      </c>
      <c r="B151" s="10" t="s">
        <v>216</v>
      </c>
      <c r="C151" s="10" t="s">
        <v>217</v>
      </c>
      <c r="D151" s="4" t="s">
        <v>16</v>
      </c>
      <c r="E151" s="12">
        <v>234</v>
      </c>
      <c r="F151" s="13">
        <f>234/778</f>
        <v>0.30077120822622105</v>
      </c>
      <c r="G151" s="14" t="s">
        <v>17</v>
      </c>
      <c r="H151" s="12">
        <v>238</v>
      </c>
      <c r="I151" s="13">
        <f>238/721</f>
        <v>0.3300970873786408</v>
      </c>
      <c r="J151" s="14" t="s">
        <v>18</v>
      </c>
      <c r="K151" s="12">
        <v>4</v>
      </c>
      <c r="L151" s="15">
        <f t="shared" si="2"/>
        <v>2.9325879152419743E-2</v>
      </c>
      <c r="M151" s="12">
        <v>34</v>
      </c>
      <c r="N151" s="12">
        <v>721</v>
      </c>
    </row>
    <row r="152" spans="1:14" ht="19.95" customHeight="1" x14ac:dyDescent="0.3">
      <c r="A152" s="2">
        <v>151</v>
      </c>
      <c r="B152" s="3" t="s">
        <v>218</v>
      </c>
      <c r="C152" s="3" t="s">
        <v>219</v>
      </c>
      <c r="D152" s="16" t="s">
        <v>26</v>
      </c>
      <c r="E152" s="5">
        <v>234</v>
      </c>
      <c r="F152" s="6">
        <f>234/840</f>
        <v>0.27857142857142858</v>
      </c>
      <c r="G152" s="7" t="s">
        <v>17</v>
      </c>
      <c r="H152" s="5">
        <v>212</v>
      </c>
      <c r="I152" s="6">
        <f>212/726</f>
        <v>0.29201101928374656</v>
      </c>
      <c r="J152" s="7" t="s">
        <v>66</v>
      </c>
      <c r="K152" s="5">
        <v>-22</v>
      </c>
      <c r="L152" s="8">
        <f t="shared" si="2"/>
        <v>1.3439590712317984E-2</v>
      </c>
      <c r="M152" s="5">
        <v>53</v>
      </c>
      <c r="N152" s="5">
        <v>726</v>
      </c>
    </row>
    <row r="153" spans="1:14" ht="19.95" customHeight="1" x14ac:dyDescent="0.3">
      <c r="A153" s="9">
        <v>152</v>
      </c>
      <c r="B153" s="10" t="s">
        <v>220</v>
      </c>
      <c r="C153" s="10" t="s">
        <v>221</v>
      </c>
      <c r="D153" s="17" t="s">
        <v>36</v>
      </c>
      <c r="E153" s="12">
        <v>185</v>
      </c>
      <c r="F153" s="13">
        <f>185/796</f>
        <v>0.23241206030150754</v>
      </c>
      <c r="G153" s="14" t="s">
        <v>17</v>
      </c>
      <c r="H153" s="12">
        <v>117</v>
      </c>
      <c r="I153" s="13">
        <f>117/736</f>
        <v>0.15896739130434784</v>
      </c>
      <c r="J153" s="14" t="s">
        <v>66</v>
      </c>
      <c r="K153" s="12">
        <v>-68</v>
      </c>
      <c r="L153" s="15">
        <f t="shared" si="2"/>
        <v>-7.3444668997159707E-2</v>
      </c>
      <c r="M153" s="12">
        <v>262</v>
      </c>
      <c r="N153" s="12">
        <v>736</v>
      </c>
    </row>
    <row r="154" spans="1:14" ht="19.95" customHeight="1" x14ac:dyDescent="0.3">
      <c r="A154" s="2">
        <v>153</v>
      </c>
      <c r="B154" s="3" t="s">
        <v>222</v>
      </c>
      <c r="C154" s="3" t="s">
        <v>223</v>
      </c>
      <c r="D154" s="17" t="s">
        <v>36</v>
      </c>
      <c r="E154" s="5">
        <v>211</v>
      </c>
      <c r="F154" s="6">
        <f>211/661</f>
        <v>0.31921331316187596</v>
      </c>
      <c r="G154" s="7" t="s">
        <v>17</v>
      </c>
      <c r="H154" s="5">
        <v>113</v>
      </c>
      <c r="I154" s="6">
        <f>113/605</f>
        <v>0.18677685950413223</v>
      </c>
      <c r="J154" s="7" t="s">
        <v>66</v>
      </c>
      <c r="K154" s="5">
        <v>-98</v>
      </c>
      <c r="L154" s="8">
        <f t="shared" si="2"/>
        <v>-0.13243645365774373</v>
      </c>
      <c r="M154" s="5">
        <v>107</v>
      </c>
      <c r="N154" s="5">
        <v>605</v>
      </c>
    </row>
    <row r="155" spans="1:14" ht="19.95" customHeight="1" x14ac:dyDescent="0.3">
      <c r="A155" s="9">
        <v>154</v>
      </c>
      <c r="B155" s="10" t="s">
        <v>224</v>
      </c>
      <c r="C155" s="10" t="s">
        <v>225</v>
      </c>
      <c r="D155" s="17" t="s">
        <v>36</v>
      </c>
      <c r="E155" s="12">
        <v>106</v>
      </c>
      <c r="F155" s="13">
        <f>106/692</f>
        <v>0.15317919075144509</v>
      </c>
      <c r="G155" s="14" t="s">
        <v>17</v>
      </c>
      <c r="H155" s="12">
        <v>90</v>
      </c>
      <c r="I155" s="13">
        <f>90/601</f>
        <v>0.14975041597337771</v>
      </c>
      <c r="J155" s="14" t="s">
        <v>17</v>
      </c>
      <c r="K155" s="12">
        <v>-16</v>
      </c>
      <c r="L155" s="15">
        <f t="shared" si="2"/>
        <v>-3.4287747780673838E-3</v>
      </c>
      <c r="M155" s="12">
        <v>176</v>
      </c>
      <c r="N155" s="12">
        <v>601</v>
      </c>
    </row>
    <row r="156" spans="1:14" ht="19.95" customHeight="1" x14ac:dyDescent="0.3">
      <c r="A156" s="2">
        <v>155</v>
      </c>
      <c r="B156" s="3" t="s">
        <v>226</v>
      </c>
      <c r="C156" s="3" t="s">
        <v>227</v>
      </c>
      <c r="D156" s="16" t="s">
        <v>26</v>
      </c>
      <c r="E156" s="5">
        <v>129</v>
      </c>
      <c r="F156" s="6">
        <f>129/792</f>
        <v>0.16287878787878787</v>
      </c>
      <c r="G156" s="7" t="s">
        <v>17</v>
      </c>
      <c r="H156" s="5">
        <v>222</v>
      </c>
      <c r="I156" s="6">
        <f>222/722</f>
        <v>0.30747922437673131</v>
      </c>
      <c r="J156" s="7" t="s">
        <v>66</v>
      </c>
      <c r="K156" s="5">
        <v>93</v>
      </c>
      <c r="L156" s="8">
        <f t="shared" si="2"/>
        <v>0.14460043649794344</v>
      </c>
      <c r="M156" s="5">
        <v>2</v>
      </c>
      <c r="N156" s="5">
        <v>722</v>
      </c>
    </row>
    <row r="157" spans="1:14" ht="19.95" customHeight="1" x14ac:dyDescent="0.3">
      <c r="A157" s="9">
        <v>156</v>
      </c>
      <c r="B157" s="10" t="s">
        <v>228</v>
      </c>
      <c r="C157" s="10" t="s">
        <v>229</v>
      </c>
      <c r="D157" s="4" t="s">
        <v>16</v>
      </c>
      <c r="E157" s="12">
        <v>199</v>
      </c>
      <c r="F157" s="13">
        <f>199/632</f>
        <v>0.314873417721519</v>
      </c>
      <c r="G157" s="14" t="s">
        <v>27</v>
      </c>
      <c r="H157" s="12">
        <v>201</v>
      </c>
      <c r="I157" s="13">
        <f>201/557</f>
        <v>0.3608617594254937</v>
      </c>
      <c r="J157" s="14" t="s">
        <v>18</v>
      </c>
      <c r="K157" s="12">
        <v>2</v>
      </c>
      <c r="L157" s="15">
        <f t="shared" si="2"/>
        <v>4.59883417039747E-2</v>
      </c>
      <c r="M157" s="12">
        <v>6</v>
      </c>
      <c r="N157" s="12">
        <v>557</v>
      </c>
    </row>
    <row r="158" spans="1:14" ht="19.95" customHeight="1" x14ac:dyDescent="0.3">
      <c r="A158" s="2">
        <v>157</v>
      </c>
      <c r="B158" s="3" t="s">
        <v>230</v>
      </c>
      <c r="C158" s="3" t="s">
        <v>231</v>
      </c>
      <c r="D158" s="18" t="s">
        <v>43</v>
      </c>
      <c r="E158" s="5">
        <v>331</v>
      </c>
      <c r="F158" s="6">
        <f>331/867</f>
        <v>0.3817762399077278</v>
      </c>
      <c r="G158" s="7" t="s">
        <v>18</v>
      </c>
      <c r="H158" s="5">
        <v>224</v>
      </c>
      <c r="I158" s="6">
        <f>224/856</f>
        <v>0.26168224299065418</v>
      </c>
      <c r="J158" s="7" t="s">
        <v>17</v>
      </c>
      <c r="K158" s="5">
        <v>-107</v>
      </c>
      <c r="L158" s="8">
        <f t="shared" si="2"/>
        <v>-0.12009399691707362</v>
      </c>
      <c r="M158" s="5">
        <v>85</v>
      </c>
      <c r="N158" s="5">
        <v>856</v>
      </c>
    </row>
    <row r="159" spans="1:14" ht="19.95" customHeight="1" x14ac:dyDescent="0.3">
      <c r="A159" s="9">
        <v>158</v>
      </c>
      <c r="B159" s="10" t="s">
        <v>232</v>
      </c>
      <c r="C159" s="10" t="s">
        <v>233</v>
      </c>
      <c r="D159" s="16" t="s">
        <v>26</v>
      </c>
      <c r="E159" s="12">
        <v>99</v>
      </c>
      <c r="F159" s="13">
        <f>99/484</f>
        <v>0.20454545454545456</v>
      </c>
      <c r="G159" s="14" t="s">
        <v>27</v>
      </c>
      <c r="H159" s="12">
        <v>135</v>
      </c>
      <c r="I159" s="13">
        <f>135/443</f>
        <v>0.30474040632054178</v>
      </c>
      <c r="J159" s="14" t="s">
        <v>17</v>
      </c>
      <c r="K159" s="12">
        <v>36</v>
      </c>
      <c r="L159" s="15">
        <f t="shared" si="2"/>
        <v>0.10019495177508722</v>
      </c>
      <c r="M159" s="12">
        <v>56</v>
      </c>
      <c r="N159" s="12">
        <v>443</v>
      </c>
    </row>
    <row r="160" spans="1:14" ht="19.95" customHeight="1" x14ac:dyDescent="0.3">
      <c r="A160" s="2">
        <v>159</v>
      </c>
      <c r="B160" s="3" t="s">
        <v>234</v>
      </c>
      <c r="C160" s="3" t="s">
        <v>235</v>
      </c>
      <c r="D160" s="4" t="s">
        <v>16</v>
      </c>
      <c r="E160" s="5">
        <v>117</v>
      </c>
      <c r="F160" s="6">
        <f>117/483</f>
        <v>0.24223602484472051</v>
      </c>
      <c r="G160" s="7" t="s">
        <v>17</v>
      </c>
      <c r="H160" s="5">
        <v>273</v>
      </c>
      <c r="I160" s="6">
        <f>273/438</f>
        <v>0.62328767123287676</v>
      </c>
      <c r="J160" s="7" t="s">
        <v>18</v>
      </c>
      <c r="K160" s="5">
        <v>156</v>
      </c>
      <c r="L160" s="8">
        <f t="shared" si="2"/>
        <v>0.38105164638815625</v>
      </c>
      <c r="M160" s="5">
        <v>175</v>
      </c>
      <c r="N160" s="5">
        <v>438</v>
      </c>
    </row>
    <row r="161" spans="1:14" ht="19.95" customHeight="1" x14ac:dyDescent="0.3">
      <c r="A161" s="9">
        <v>160</v>
      </c>
      <c r="B161" s="10" t="s">
        <v>236</v>
      </c>
      <c r="C161" s="10" t="s">
        <v>237</v>
      </c>
      <c r="D161" s="4" t="s">
        <v>16</v>
      </c>
      <c r="E161" s="12">
        <v>111</v>
      </c>
      <c r="F161" s="13">
        <f>111/312</f>
        <v>0.35576923076923078</v>
      </c>
      <c r="G161" s="14" t="s">
        <v>17</v>
      </c>
      <c r="H161" s="12">
        <v>120</v>
      </c>
      <c r="I161" s="13">
        <f>120/342</f>
        <v>0.35087719298245612</v>
      </c>
      <c r="J161" s="14" t="s">
        <v>18</v>
      </c>
      <c r="K161" s="12">
        <v>9</v>
      </c>
      <c r="L161" s="15">
        <f t="shared" si="2"/>
        <v>-4.8920377867746612E-3</v>
      </c>
      <c r="M161" s="12">
        <v>7</v>
      </c>
      <c r="N161" s="12">
        <v>342</v>
      </c>
    </row>
    <row r="162" spans="1:14" ht="19.95" customHeight="1" x14ac:dyDescent="0.3">
      <c r="A162" s="2">
        <v>161</v>
      </c>
      <c r="B162" s="3" t="s">
        <v>238</v>
      </c>
      <c r="C162" s="3" t="s">
        <v>239</v>
      </c>
      <c r="D162" s="17" t="s">
        <v>36</v>
      </c>
      <c r="E162" s="5">
        <v>233</v>
      </c>
      <c r="F162" s="6">
        <f>233/785</f>
        <v>0.29681528662420381</v>
      </c>
      <c r="G162" s="7" t="s">
        <v>17</v>
      </c>
      <c r="H162" s="5">
        <v>143</v>
      </c>
      <c r="I162" s="6">
        <f>143/721</f>
        <v>0.19833564493758668</v>
      </c>
      <c r="J162" s="7" t="s">
        <v>17</v>
      </c>
      <c r="K162" s="5">
        <v>-90</v>
      </c>
      <c r="L162" s="8">
        <f t="shared" si="2"/>
        <v>-9.8479641686617131E-2</v>
      </c>
      <c r="M162" s="5">
        <v>243</v>
      </c>
      <c r="N162" s="5">
        <v>721</v>
      </c>
    </row>
    <row r="163" spans="1:14" ht="19.95" customHeight="1" x14ac:dyDescent="0.3">
      <c r="A163" s="9">
        <v>162</v>
      </c>
      <c r="B163" s="10" t="s">
        <v>238</v>
      </c>
      <c r="C163" s="10" t="s">
        <v>239</v>
      </c>
      <c r="D163" s="16" t="s">
        <v>26</v>
      </c>
      <c r="E163" s="12">
        <v>164</v>
      </c>
      <c r="F163" s="13">
        <f>164/584</f>
        <v>0.28082191780821919</v>
      </c>
      <c r="G163" s="14" t="s">
        <v>17</v>
      </c>
      <c r="H163" s="12">
        <v>171</v>
      </c>
      <c r="I163" s="13">
        <f>171/452</f>
        <v>0.37831858407079644</v>
      </c>
      <c r="J163" s="14" t="s">
        <v>17</v>
      </c>
      <c r="K163" s="12">
        <v>7</v>
      </c>
      <c r="L163" s="15">
        <f t="shared" si="2"/>
        <v>9.7496666262577247E-2</v>
      </c>
      <c r="M163" s="12">
        <v>17</v>
      </c>
      <c r="N163" s="12">
        <v>452</v>
      </c>
    </row>
    <row r="164" spans="1:14" ht="19.95" customHeight="1" x14ac:dyDescent="0.3">
      <c r="A164" s="2">
        <v>163</v>
      </c>
      <c r="B164" s="3" t="s">
        <v>238</v>
      </c>
      <c r="C164" s="3" t="s">
        <v>239</v>
      </c>
      <c r="D164" s="16" t="s">
        <v>26</v>
      </c>
      <c r="E164" s="5">
        <v>140</v>
      </c>
      <c r="F164" s="6">
        <f>140/442</f>
        <v>0.31674208144796379</v>
      </c>
      <c r="G164" s="7" t="s">
        <v>17</v>
      </c>
      <c r="H164" s="5">
        <v>88</v>
      </c>
      <c r="I164" s="6">
        <f>88/320</f>
        <v>0.27500000000000002</v>
      </c>
      <c r="J164" s="7" t="s">
        <v>17</v>
      </c>
      <c r="K164" s="5">
        <v>-52</v>
      </c>
      <c r="L164" s="8">
        <f t="shared" si="2"/>
        <v>-4.1742081447963764E-2</v>
      </c>
      <c r="M164" s="5">
        <v>22</v>
      </c>
      <c r="N164" s="5">
        <v>320</v>
      </c>
    </row>
    <row r="165" spans="1:14" ht="19.95" customHeight="1" x14ac:dyDescent="0.3">
      <c r="A165" s="9">
        <v>164</v>
      </c>
      <c r="B165" s="10" t="s">
        <v>240</v>
      </c>
      <c r="C165" s="10" t="s">
        <v>241</v>
      </c>
      <c r="D165" s="16" t="s">
        <v>26</v>
      </c>
      <c r="E165" s="12">
        <v>206</v>
      </c>
      <c r="F165" s="13">
        <f>206/777</f>
        <v>0.26512226512226511</v>
      </c>
      <c r="G165" s="14" t="s">
        <v>17</v>
      </c>
      <c r="H165" s="12">
        <v>232</v>
      </c>
      <c r="I165" s="13">
        <f>232/684</f>
        <v>0.33918128654970758</v>
      </c>
      <c r="J165" s="14" t="s">
        <v>17</v>
      </c>
      <c r="K165" s="12">
        <v>26</v>
      </c>
      <c r="L165" s="15">
        <f t="shared" si="2"/>
        <v>7.4059021427442473E-2</v>
      </c>
      <c r="M165" s="12">
        <v>53</v>
      </c>
      <c r="N165" s="12">
        <v>684</v>
      </c>
    </row>
    <row r="166" spans="1:14" ht="19.95" customHeight="1" x14ac:dyDescent="0.3">
      <c r="A166" s="2">
        <v>165</v>
      </c>
      <c r="B166" s="3" t="s">
        <v>240</v>
      </c>
      <c r="C166" s="3" t="s">
        <v>241</v>
      </c>
      <c r="D166" s="18" t="s">
        <v>43</v>
      </c>
      <c r="E166" s="5">
        <v>238</v>
      </c>
      <c r="F166" s="6">
        <f>238/592</f>
        <v>0.40202702702702703</v>
      </c>
      <c r="G166" s="7" t="s">
        <v>18</v>
      </c>
      <c r="H166" s="5">
        <v>100</v>
      </c>
      <c r="I166" s="6">
        <f>100/458</f>
        <v>0.2183406113537118</v>
      </c>
      <c r="J166" s="7" t="s">
        <v>17</v>
      </c>
      <c r="K166" s="5">
        <v>-138</v>
      </c>
      <c r="L166" s="8">
        <f t="shared" si="2"/>
        <v>-0.18368641567331523</v>
      </c>
      <c r="M166" s="5">
        <v>36</v>
      </c>
      <c r="N166" s="5">
        <v>458</v>
      </c>
    </row>
    <row r="167" spans="1:14" ht="19.95" customHeight="1" x14ac:dyDescent="0.3">
      <c r="A167" s="9">
        <v>166</v>
      </c>
      <c r="B167" s="10" t="s">
        <v>240</v>
      </c>
      <c r="C167" s="10" t="s">
        <v>241</v>
      </c>
      <c r="D167" s="17" t="s">
        <v>36</v>
      </c>
      <c r="E167" s="12">
        <v>257</v>
      </c>
      <c r="F167" s="13">
        <f>257/668</f>
        <v>0.3847305389221557</v>
      </c>
      <c r="G167" s="14" t="s">
        <v>17</v>
      </c>
      <c r="H167" s="12">
        <v>69</v>
      </c>
      <c r="I167" s="13">
        <f>69/611</f>
        <v>0.11292962356792144</v>
      </c>
      <c r="J167" s="14" t="s">
        <v>17</v>
      </c>
      <c r="K167" s="12">
        <v>-188</v>
      </c>
      <c r="L167" s="15">
        <f t="shared" si="2"/>
        <v>-0.27180091535423423</v>
      </c>
      <c r="M167" s="12">
        <v>134</v>
      </c>
      <c r="N167" s="12">
        <v>611</v>
      </c>
    </row>
    <row r="168" spans="1:14" ht="19.95" customHeight="1" x14ac:dyDescent="0.3">
      <c r="A168" s="2">
        <v>167</v>
      </c>
      <c r="B168" s="3" t="s">
        <v>242</v>
      </c>
      <c r="C168" s="3" t="s">
        <v>243</v>
      </c>
      <c r="D168" s="4" t="s">
        <v>16</v>
      </c>
      <c r="E168" s="5">
        <v>87</v>
      </c>
      <c r="F168" s="6">
        <f>87/443</f>
        <v>0.19638826185101579</v>
      </c>
      <c r="G168" s="7" t="s">
        <v>27</v>
      </c>
      <c r="H168" s="5">
        <v>227</v>
      </c>
      <c r="I168" s="6">
        <f>227/442</f>
        <v>0.51357466063348411</v>
      </c>
      <c r="J168" s="7" t="s">
        <v>18</v>
      </c>
      <c r="K168" s="5">
        <v>140</v>
      </c>
      <c r="L168" s="8">
        <f t="shared" si="2"/>
        <v>0.31718639878246835</v>
      </c>
      <c r="M168" s="5">
        <v>127</v>
      </c>
      <c r="N168" s="5">
        <v>442</v>
      </c>
    </row>
    <row r="169" spans="1:14" ht="19.95" customHeight="1" x14ac:dyDescent="0.3">
      <c r="A169" s="9">
        <v>168</v>
      </c>
      <c r="B169" s="10" t="s">
        <v>242</v>
      </c>
      <c r="C169" s="10" t="s">
        <v>243</v>
      </c>
      <c r="D169" s="4" t="s">
        <v>16</v>
      </c>
      <c r="E169" s="12">
        <v>128</v>
      </c>
      <c r="F169" s="13">
        <f>128/440</f>
        <v>0.29090909090909089</v>
      </c>
      <c r="G169" s="14" t="s">
        <v>27</v>
      </c>
      <c r="H169" s="12">
        <v>179</v>
      </c>
      <c r="I169" s="13">
        <f>179/424</f>
        <v>0.42216981132075471</v>
      </c>
      <c r="J169" s="14" t="s">
        <v>18</v>
      </c>
      <c r="K169" s="12">
        <v>51</v>
      </c>
      <c r="L169" s="15">
        <f t="shared" si="2"/>
        <v>0.13126072041166381</v>
      </c>
      <c r="M169" s="12">
        <v>71</v>
      </c>
      <c r="N169" s="12">
        <v>424</v>
      </c>
    </row>
    <row r="170" spans="1:14" ht="19.95" customHeight="1" x14ac:dyDescent="0.3">
      <c r="A170" s="2">
        <v>169</v>
      </c>
      <c r="B170" s="3" t="s">
        <v>244</v>
      </c>
      <c r="C170" s="3" t="s">
        <v>245</v>
      </c>
      <c r="D170" s="16" t="s">
        <v>26</v>
      </c>
      <c r="E170" s="5">
        <v>245</v>
      </c>
      <c r="F170" s="6">
        <f>245/693</f>
        <v>0.35353535353535354</v>
      </c>
      <c r="G170" s="7" t="s">
        <v>17</v>
      </c>
      <c r="H170" s="5">
        <v>178</v>
      </c>
      <c r="I170" s="6">
        <f>178/647</f>
        <v>0.27511591962905718</v>
      </c>
      <c r="J170" s="7" t="s">
        <v>27</v>
      </c>
      <c r="K170" s="5">
        <v>-67</v>
      </c>
      <c r="L170" s="8">
        <f t="shared" si="2"/>
        <v>-7.8419433906296354E-2</v>
      </c>
      <c r="M170" s="5">
        <v>29</v>
      </c>
      <c r="N170" s="5">
        <v>647</v>
      </c>
    </row>
    <row r="171" spans="1:14" ht="19.95" customHeight="1" x14ac:dyDescent="0.3">
      <c r="A171" s="9">
        <v>170</v>
      </c>
      <c r="B171" s="10" t="s">
        <v>246</v>
      </c>
      <c r="C171" s="10" t="s">
        <v>247</v>
      </c>
      <c r="D171" s="16" t="s">
        <v>26</v>
      </c>
      <c r="E171" s="12">
        <v>273</v>
      </c>
      <c r="F171" s="13">
        <f>273/826</f>
        <v>0.33050847457627119</v>
      </c>
      <c r="G171" s="14" t="s">
        <v>17</v>
      </c>
      <c r="H171" s="12">
        <v>147</v>
      </c>
      <c r="I171" s="13">
        <f>147/676</f>
        <v>0.21745562130177515</v>
      </c>
      <c r="J171" s="14" t="s">
        <v>17</v>
      </c>
      <c r="K171" s="12">
        <v>-126</v>
      </c>
      <c r="L171" s="15">
        <f t="shared" si="2"/>
        <v>-0.11305285327449605</v>
      </c>
      <c r="M171" s="12">
        <v>175</v>
      </c>
      <c r="N171" s="12">
        <v>676</v>
      </c>
    </row>
    <row r="172" spans="1:14" ht="19.95" customHeight="1" x14ac:dyDescent="0.3">
      <c r="A172" s="2">
        <v>171</v>
      </c>
      <c r="B172" s="3" t="s">
        <v>248</v>
      </c>
      <c r="C172" s="3" t="s">
        <v>249</v>
      </c>
      <c r="D172" s="18" t="s">
        <v>73</v>
      </c>
      <c r="E172" s="5">
        <v>317</v>
      </c>
      <c r="F172" s="6">
        <f>317/594</f>
        <v>0.53367003367003363</v>
      </c>
      <c r="G172" s="7" t="s">
        <v>18</v>
      </c>
      <c r="H172" s="5">
        <v>175</v>
      </c>
      <c r="I172" s="6">
        <f>175/535</f>
        <v>0.32710280373831774</v>
      </c>
      <c r="J172" s="7" t="s">
        <v>27</v>
      </c>
      <c r="K172" s="5">
        <v>-142</v>
      </c>
      <c r="L172" s="8">
        <f t="shared" si="2"/>
        <v>-0.20656722993171589</v>
      </c>
      <c r="M172" s="5">
        <v>3</v>
      </c>
      <c r="N172" s="5">
        <v>535</v>
      </c>
    </row>
    <row r="173" spans="1:14" ht="19.95" customHeight="1" x14ac:dyDescent="0.3">
      <c r="A173" s="9">
        <v>172</v>
      </c>
      <c r="B173" s="10" t="s">
        <v>250</v>
      </c>
      <c r="C173" s="10" t="s">
        <v>251</v>
      </c>
      <c r="D173" s="18" t="s">
        <v>43</v>
      </c>
      <c r="E173" s="12">
        <v>239</v>
      </c>
      <c r="F173" s="13">
        <f>239/617</f>
        <v>0.3873581847649919</v>
      </c>
      <c r="G173" s="14" t="s">
        <v>18</v>
      </c>
      <c r="H173" s="12">
        <v>179</v>
      </c>
      <c r="I173" s="13">
        <f>179/580</f>
        <v>0.30862068965517242</v>
      </c>
      <c r="J173" s="14" t="s">
        <v>17</v>
      </c>
      <c r="K173" s="12">
        <v>-60</v>
      </c>
      <c r="L173" s="15">
        <f t="shared" si="2"/>
        <v>-7.8737495109819478E-2</v>
      </c>
      <c r="M173" s="12">
        <v>84</v>
      </c>
      <c r="N173" s="12">
        <v>580</v>
      </c>
    </row>
    <row r="174" spans="1:14" ht="19.95" customHeight="1" x14ac:dyDescent="0.3">
      <c r="A174" s="2">
        <v>173</v>
      </c>
      <c r="B174" s="3" t="s">
        <v>252</v>
      </c>
      <c r="C174" s="3" t="s">
        <v>253</v>
      </c>
      <c r="D174" s="16" t="s">
        <v>26</v>
      </c>
      <c r="E174" s="5">
        <v>178</v>
      </c>
      <c r="F174" s="6">
        <f>178/438</f>
        <v>0.40639269406392692</v>
      </c>
      <c r="G174" s="7" t="s">
        <v>17</v>
      </c>
      <c r="H174" s="5">
        <v>114</v>
      </c>
      <c r="I174" s="6">
        <f>114/424</f>
        <v>0.26886792452830188</v>
      </c>
      <c r="J174" s="7" t="s">
        <v>17</v>
      </c>
      <c r="K174" s="5">
        <v>-64</v>
      </c>
      <c r="L174" s="8">
        <f t="shared" si="2"/>
        <v>-0.13752476953562504</v>
      </c>
      <c r="M174" s="5">
        <v>31</v>
      </c>
      <c r="N174" s="5">
        <v>424</v>
      </c>
    </row>
    <row r="175" spans="1:14" ht="19.95" customHeight="1" x14ac:dyDescent="0.3">
      <c r="A175" s="9">
        <v>174</v>
      </c>
      <c r="B175" s="10" t="s">
        <v>254</v>
      </c>
      <c r="C175" s="10" t="s">
        <v>255</v>
      </c>
      <c r="D175" s="4" t="s">
        <v>16</v>
      </c>
      <c r="E175" s="12">
        <v>140</v>
      </c>
      <c r="F175" s="13">
        <f>140/571</f>
        <v>0.24518388791593695</v>
      </c>
      <c r="G175" s="14" t="s">
        <v>17</v>
      </c>
      <c r="H175" s="12">
        <v>199</v>
      </c>
      <c r="I175" s="13">
        <f>199/517</f>
        <v>0.38491295938104447</v>
      </c>
      <c r="J175" s="14" t="s">
        <v>18</v>
      </c>
      <c r="K175" s="12">
        <v>59</v>
      </c>
      <c r="L175" s="15">
        <f t="shared" si="2"/>
        <v>0.13972907146510752</v>
      </c>
      <c r="M175" s="12">
        <v>38</v>
      </c>
      <c r="N175" s="12">
        <v>517</v>
      </c>
    </row>
    <row r="176" spans="1:14" ht="19.95" customHeight="1" x14ac:dyDescent="0.3">
      <c r="A176" s="2">
        <v>175</v>
      </c>
      <c r="B176" s="3" t="s">
        <v>256</v>
      </c>
      <c r="C176" s="3" t="s">
        <v>257</v>
      </c>
      <c r="D176" s="17" t="s">
        <v>36</v>
      </c>
      <c r="E176" s="5">
        <v>153</v>
      </c>
      <c r="F176" s="6">
        <f>153/552</f>
        <v>0.27717391304347827</v>
      </c>
      <c r="G176" s="7" t="s">
        <v>17</v>
      </c>
      <c r="H176" s="5">
        <v>52</v>
      </c>
      <c r="I176" s="6">
        <f>52/517</f>
        <v>0.10058027079303675</v>
      </c>
      <c r="J176" s="7" t="s">
        <v>66</v>
      </c>
      <c r="K176" s="5">
        <v>-101</v>
      </c>
      <c r="L176" s="8">
        <f t="shared" si="2"/>
        <v>-0.17659364225044152</v>
      </c>
      <c r="M176" s="5">
        <v>288</v>
      </c>
      <c r="N176" s="5">
        <v>517</v>
      </c>
    </row>
    <row r="177" spans="1:14" ht="19.95" customHeight="1" x14ac:dyDescent="0.3">
      <c r="A177" s="9">
        <v>176</v>
      </c>
      <c r="B177" s="10" t="s">
        <v>258</v>
      </c>
      <c r="C177" s="10" t="s">
        <v>259</v>
      </c>
      <c r="D177" s="18" t="s">
        <v>43</v>
      </c>
      <c r="E177" s="12">
        <v>203</v>
      </c>
      <c r="F177" s="13">
        <f>203/604</f>
        <v>0.33609271523178808</v>
      </c>
      <c r="G177" s="14" t="s">
        <v>18</v>
      </c>
      <c r="H177" s="12">
        <v>160</v>
      </c>
      <c r="I177" s="13">
        <f>160/513</f>
        <v>0.31189083820662766</v>
      </c>
      <c r="J177" s="14" t="s">
        <v>17</v>
      </c>
      <c r="K177" s="12">
        <v>-43</v>
      </c>
      <c r="L177" s="15">
        <f t="shared" si="2"/>
        <v>-2.4201877025160412E-2</v>
      </c>
      <c r="M177" s="12">
        <v>18</v>
      </c>
      <c r="N177" s="12">
        <v>513</v>
      </c>
    </row>
    <row r="178" spans="1:14" ht="19.95" customHeight="1" x14ac:dyDescent="0.3">
      <c r="A178" s="2">
        <v>177</v>
      </c>
      <c r="B178" s="3" t="s">
        <v>258</v>
      </c>
      <c r="C178" s="3" t="s">
        <v>259</v>
      </c>
      <c r="D178" s="4" t="s">
        <v>16</v>
      </c>
      <c r="E178" s="5">
        <v>176</v>
      </c>
      <c r="F178" s="6">
        <f>176/573</f>
        <v>0.30715532286212915</v>
      </c>
      <c r="G178" s="7" t="s">
        <v>17</v>
      </c>
      <c r="H178" s="5">
        <v>245</v>
      </c>
      <c r="I178" s="6">
        <f>245/523</f>
        <v>0.46845124282982792</v>
      </c>
      <c r="J178" s="7" t="s">
        <v>18</v>
      </c>
      <c r="K178" s="5">
        <v>69</v>
      </c>
      <c r="L178" s="8">
        <f t="shared" si="2"/>
        <v>0.16129591996769876</v>
      </c>
      <c r="M178" s="5">
        <v>58</v>
      </c>
      <c r="N178" s="5">
        <v>523</v>
      </c>
    </row>
    <row r="179" spans="1:14" ht="19.95" customHeight="1" x14ac:dyDescent="0.3">
      <c r="A179" s="9">
        <v>178</v>
      </c>
      <c r="B179" s="10" t="s">
        <v>260</v>
      </c>
      <c r="C179" s="10" t="s">
        <v>261</v>
      </c>
      <c r="D179" s="16" t="s">
        <v>26</v>
      </c>
      <c r="E179" s="12">
        <v>150</v>
      </c>
      <c r="F179" s="13">
        <f>150/691</f>
        <v>0.21707670043415339</v>
      </c>
      <c r="G179" s="14" t="s">
        <v>17</v>
      </c>
      <c r="H179" s="12">
        <v>161</v>
      </c>
      <c r="I179" s="13">
        <f>161/630</f>
        <v>0.25555555555555554</v>
      </c>
      <c r="J179" s="14" t="s">
        <v>17</v>
      </c>
      <c r="K179" s="12">
        <v>11</v>
      </c>
      <c r="L179" s="15">
        <f t="shared" si="2"/>
        <v>3.8478855121402145E-2</v>
      </c>
      <c r="M179" s="12">
        <v>168</v>
      </c>
      <c r="N179" s="12">
        <v>630</v>
      </c>
    </row>
    <row r="180" spans="1:14" ht="19.95" customHeight="1" x14ac:dyDescent="0.3">
      <c r="A180" s="2">
        <v>179</v>
      </c>
      <c r="B180" s="3" t="s">
        <v>262</v>
      </c>
      <c r="C180" s="3" t="s">
        <v>263</v>
      </c>
      <c r="D180" s="11" t="s">
        <v>21</v>
      </c>
      <c r="E180" s="5">
        <v>185</v>
      </c>
      <c r="F180" s="6">
        <f>185/522</f>
        <v>0.35440613026819923</v>
      </c>
      <c r="G180" s="7" t="s">
        <v>18</v>
      </c>
      <c r="H180" s="5">
        <v>163</v>
      </c>
      <c r="I180" s="6">
        <f>163/441</f>
        <v>0.36961451247165533</v>
      </c>
      <c r="J180" s="7" t="s">
        <v>18</v>
      </c>
      <c r="K180" s="5">
        <v>-22</v>
      </c>
      <c r="L180" s="8">
        <f t="shared" si="2"/>
        <v>1.5208382203456106E-2</v>
      </c>
      <c r="M180" s="5">
        <v>22</v>
      </c>
      <c r="N180" s="5">
        <v>441</v>
      </c>
    </row>
    <row r="181" spans="1:14" ht="19.95" customHeight="1" x14ac:dyDescent="0.3">
      <c r="A181" s="9">
        <v>180</v>
      </c>
      <c r="B181" s="10" t="s">
        <v>264</v>
      </c>
      <c r="C181" s="10" t="s">
        <v>265</v>
      </c>
      <c r="D181" s="17" t="s">
        <v>36</v>
      </c>
      <c r="E181" s="12">
        <v>131</v>
      </c>
      <c r="F181" s="13">
        <f>131/418</f>
        <v>0.3133971291866029</v>
      </c>
      <c r="G181" s="14" t="s">
        <v>17</v>
      </c>
      <c r="H181" s="12">
        <v>37</v>
      </c>
      <c r="I181" s="13">
        <f>37/418</f>
        <v>8.8516746411483258E-2</v>
      </c>
      <c r="J181" s="14" t="s">
        <v>66</v>
      </c>
      <c r="K181" s="12">
        <v>-94</v>
      </c>
      <c r="L181" s="15">
        <f t="shared" si="2"/>
        <v>-0.22488038277511962</v>
      </c>
      <c r="M181" s="12">
        <v>227</v>
      </c>
      <c r="N181" s="12">
        <v>418</v>
      </c>
    </row>
    <row r="182" spans="1:14" ht="19.95" customHeight="1" x14ac:dyDescent="0.3">
      <c r="A182" s="2">
        <v>181</v>
      </c>
      <c r="B182" s="3" t="s">
        <v>264</v>
      </c>
      <c r="C182" s="3" t="s">
        <v>265</v>
      </c>
      <c r="D182" s="18" t="s">
        <v>43</v>
      </c>
      <c r="E182" s="5">
        <v>133</v>
      </c>
      <c r="F182" s="6">
        <f>133/398</f>
        <v>0.33417085427135679</v>
      </c>
      <c r="G182" s="7" t="s">
        <v>18</v>
      </c>
      <c r="H182" s="5">
        <v>97</v>
      </c>
      <c r="I182" s="6">
        <f>97/343</f>
        <v>0.28279883381924198</v>
      </c>
      <c r="J182" s="7" t="s">
        <v>17</v>
      </c>
      <c r="K182" s="5">
        <v>-36</v>
      </c>
      <c r="L182" s="8">
        <f t="shared" si="2"/>
        <v>-5.1372020452114808E-2</v>
      </c>
      <c r="M182" s="5">
        <v>23</v>
      </c>
      <c r="N182" s="5">
        <v>343</v>
      </c>
    </row>
    <row r="183" spans="1:14" ht="19.95" customHeight="1" x14ac:dyDescent="0.3">
      <c r="A183" s="9">
        <v>182</v>
      </c>
      <c r="B183" s="10" t="s">
        <v>266</v>
      </c>
      <c r="C183" s="10" t="s">
        <v>267</v>
      </c>
      <c r="D183" s="17" t="s">
        <v>36</v>
      </c>
      <c r="E183" s="12">
        <v>76</v>
      </c>
      <c r="F183" s="13">
        <f>76/238</f>
        <v>0.31932773109243695</v>
      </c>
      <c r="G183" s="14" t="s">
        <v>17</v>
      </c>
      <c r="H183" s="12">
        <v>34</v>
      </c>
      <c r="I183" s="13">
        <f>34/232</f>
        <v>0.14655172413793102</v>
      </c>
      <c r="J183" s="14" t="s">
        <v>66</v>
      </c>
      <c r="K183" s="12">
        <v>-42</v>
      </c>
      <c r="L183" s="15">
        <f t="shared" si="2"/>
        <v>-0.17277600695450593</v>
      </c>
      <c r="M183" s="12">
        <v>101</v>
      </c>
      <c r="N183" s="12">
        <v>232</v>
      </c>
    </row>
    <row r="184" spans="1:14" ht="19.95" customHeight="1" x14ac:dyDescent="0.3">
      <c r="A184" s="2">
        <v>183</v>
      </c>
      <c r="B184" s="3" t="s">
        <v>268</v>
      </c>
      <c r="C184" s="3" t="s">
        <v>269</v>
      </c>
      <c r="D184" s="16" t="s">
        <v>26</v>
      </c>
      <c r="E184" s="5">
        <v>131</v>
      </c>
      <c r="F184" s="6">
        <f>131/549</f>
        <v>0.23861566484517305</v>
      </c>
      <c r="G184" s="7" t="s">
        <v>17</v>
      </c>
      <c r="H184" s="5">
        <v>185</v>
      </c>
      <c r="I184" s="6">
        <f>185/546</f>
        <v>0.33882783882783885</v>
      </c>
      <c r="J184" s="7" t="s">
        <v>17</v>
      </c>
      <c r="K184" s="5">
        <v>54</v>
      </c>
      <c r="L184" s="8">
        <f t="shared" si="2"/>
        <v>0.1002121739826658</v>
      </c>
      <c r="M184" s="5">
        <v>12</v>
      </c>
      <c r="N184" s="5">
        <v>546</v>
      </c>
    </row>
    <row r="185" spans="1:14" ht="19.95" customHeight="1" x14ac:dyDescent="0.3">
      <c r="A185" s="9">
        <v>184</v>
      </c>
      <c r="B185" s="10" t="s">
        <v>270</v>
      </c>
      <c r="C185" s="10" t="s">
        <v>271</v>
      </c>
      <c r="D185" s="18" t="s">
        <v>65</v>
      </c>
      <c r="E185" s="12">
        <v>295</v>
      </c>
      <c r="F185" s="13">
        <f>295/728</f>
        <v>0.40521978021978022</v>
      </c>
      <c r="G185" s="14" t="s">
        <v>18</v>
      </c>
      <c r="H185" s="12">
        <v>190</v>
      </c>
      <c r="I185" s="13">
        <f>190/659</f>
        <v>0.2883156297420334</v>
      </c>
      <c r="J185" s="14" t="s">
        <v>66</v>
      </c>
      <c r="K185" s="12">
        <v>-105</v>
      </c>
      <c r="L185" s="15">
        <f t="shared" si="2"/>
        <v>-0.11690415047774683</v>
      </c>
      <c r="M185" s="12">
        <v>135</v>
      </c>
      <c r="N185" s="12">
        <v>659</v>
      </c>
    </row>
    <row r="186" spans="1:14" ht="19.95" customHeight="1" x14ac:dyDescent="0.3">
      <c r="A186" s="2">
        <v>185</v>
      </c>
      <c r="B186" s="3" t="s">
        <v>272</v>
      </c>
      <c r="C186" s="3" t="s">
        <v>273</v>
      </c>
      <c r="D186" s="17" t="s">
        <v>36</v>
      </c>
      <c r="E186" s="5">
        <v>128</v>
      </c>
      <c r="F186" s="6">
        <f>128/443</f>
        <v>0.28893905191873587</v>
      </c>
      <c r="G186" s="7" t="s">
        <v>17</v>
      </c>
      <c r="H186" s="5">
        <v>68</v>
      </c>
      <c r="I186" s="6">
        <f>68/379</f>
        <v>0.17941952506596306</v>
      </c>
      <c r="J186" s="7" t="s">
        <v>17</v>
      </c>
      <c r="K186" s="5">
        <v>-60</v>
      </c>
      <c r="L186" s="8">
        <f t="shared" si="2"/>
        <v>-0.1095195268527728</v>
      </c>
      <c r="M186" s="5">
        <v>61</v>
      </c>
      <c r="N186" s="5">
        <v>379</v>
      </c>
    </row>
    <row r="187" spans="1:14" ht="19.95" customHeight="1" x14ac:dyDescent="0.3">
      <c r="A187" s="9">
        <v>186</v>
      </c>
      <c r="B187" s="10" t="s">
        <v>274</v>
      </c>
      <c r="C187" s="10" t="s">
        <v>275</v>
      </c>
      <c r="D187" s="18" t="s">
        <v>43</v>
      </c>
      <c r="E187" s="12">
        <v>252</v>
      </c>
      <c r="F187" s="13">
        <f>252/648</f>
        <v>0.3888888888888889</v>
      </c>
      <c r="G187" s="14" t="s">
        <v>18</v>
      </c>
      <c r="H187" s="12">
        <v>132</v>
      </c>
      <c r="I187" s="13">
        <f>132/527</f>
        <v>0.25047438330170779</v>
      </c>
      <c r="J187" s="14" t="s">
        <v>17</v>
      </c>
      <c r="K187" s="12">
        <v>-120</v>
      </c>
      <c r="L187" s="15">
        <f t="shared" si="2"/>
        <v>-0.1384145055871811</v>
      </c>
      <c r="M187" s="12">
        <v>13</v>
      </c>
      <c r="N187" s="12">
        <v>527</v>
      </c>
    </row>
    <row r="188" spans="1:14" ht="19.95" customHeight="1" x14ac:dyDescent="0.3">
      <c r="A188" s="2">
        <v>187</v>
      </c>
      <c r="B188" s="3" t="s">
        <v>274</v>
      </c>
      <c r="C188" s="3" t="s">
        <v>275</v>
      </c>
      <c r="D188" s="11" t="s">
        <v>21</v>
      </c>
      <c r="E188" s="5">
        <v>249</v>
      </c>
      <c r="F188" s="6">
        <f>249/708</f>
        <v>0.35169491525423729</v>
      </c>
      <c r="G188" s="7" t="s">
        <v>18</v>
      </c>
      <c r="H188" s="5">
        <v>218</v>
      </c>
      <c r="I188" s="6">
        <f>218/591</f>
        <v>0.36886632825719118</v>
      </c>
      <c r="J188" s="7" t="s">
        <v>18</v>
      </c>
      <c r="K188" s="5">
        <v>-31</v>
      </c>
      <c r="L188" s="8">
        <f t="shared" si="2"/>
        <v>1.7171413002953884E-2</v>
      </c>
      <c r="M188" s="5">
        <v>48</v>
      </c>
      <c r="N188" s="5">
        <v>591</v>
      </c>
    </row>
    <row r="189" spans="1:14" ht="19.95" customHeight="1" x14ac:dyDescent="0.3">
      <c r="A189" s="9">
        <v>188</v>
      </c>
      <c r="B189" s="10" t="s">
        <v>274</v>
      </c>
      <c r="C189" s="10" t="s">
        <v>275</v>
      </c>
      <c r="D189" s="18" t="s">
        <v>43</v>
      </c>
      <c r="E189" s="12">
        <v>300</v>
      </c>
      <c r="F189" s="13">
        <f>300/607</f>
        <v>0.49423393739703458</v>
      </c>
      <c r="G189" s="14" t="s">
        <v>18</v>
      </c>
      <c r="H189" s="12">
        <v>141</v>
      </c>
      <c r="I189" s="13">
        <f>141/528</f>
        <v>0.26704545454545453</v>
      </c>
      <c r="J189" s="14" t="s">
        <v>17</v>
      </c>
      <c r="K189" s="12">
        <v>-159</v>
      </c>
      <c r="L189" s="15">
        <f t="shared" si="2"/>
        <v>-0.22718848285158005</v>
      </c>
      <c r="M189" s="12">
        <v>28</v>
      </c>
      <c r="N189" s="12">
        <v>528</v>
      </c>
    </row>
    <row r="190" spans="1:14" ht="19.95" customHeight="1" x14ac:dyDescent="0.3">
      <c r="A190" s="2">
        <v>189</v>
      </c>
      <c r="B190" s="3" t="s">
        <v>276</v>
      </c>
      <c r="C190" s="3" t="s">
        <v>277</v>
      </c>
      <c r="D190" s="16" t="s">
        <v>26</v>
      </c>
      <c r="E190" s="5">
        <v>90</v>
      </c>
      <c r="F190" s="6">
        <f>90/370</f>
        <v>0.24324324324324326</v>
      </c>
      <c r="G190" s="7" t="s">
        <v>17</v>
      </c>
      <c r="H190" s="5">
        <v>79</v>
      </c>
      <c r="I190" s="6">
        <f>79/312</f>
        <v>0.25320512820512819</v>
      </c>
      <c r="J190" s="7" t="s">
        <v>17</v>
      </c>
      <c r="K190" s="5">
        <v>-11</v>
      </c>
      <c r="L190" s="8">
        <f t="shared" si="2"/>
        <v>9.961884961884937E-3</v>
      </c>
      <c r="M190" s="5">
        <v>66</v>
      </c>
      <c r="N190" s="5">
        <v>312</v>
      </c>
    </row>
    <row r="191" spans="1:14" ht="19.95" customHeight="1" x14ac:dyDescent="0.3">
      <c r="A191" s="9">
        <v>190</v>
      </c>
      <c r="B191" s="10" t="s">
        <v>276</v>
      </c>
      <c r="C191" s="10" t="s">
        <v>277</v>
      </c>
      <c r="D191" s="4" t="s">
        <v>16</v>
      </c>
      <c r="E191" s="12">
        <v>136</v>
      </c>
      <c r="F191" s="13">
        <f>136/538</f>
        <v>0.25278810408921931</v>
      </c>
      <c r="G191" s="14" t="s">
        <v>27</v>
      </c>
      <c r="H191" s="12">
        <v>151</v>
      </c>
      <c r="I191" s="13">
        <f>151/470</f>
        <v>0.32127659574468087</v>
      </c>
      <c r="J191" s="14" t="s">
        <v>18</v>
      </c>
      <c r="K191" s="12">
        <v>15</v>
      </c>
      <c r="L191" s="15">
        <f t="shared" si="2"/>
        <v>6.8488491655461559E-2</v>
      </c>
      <c r="M191" s="12">
        <v>21</v>
      </c>
      <c r="N191" s="12">
        <v>470</v>
      </c>
    </row>
    <row r="192" spans="1:14" ht="19.95" customHeight="1" x14ac:dyDescent="0.3">
      <c r="A192" s="2">
        <v>191</v>
      </c>
      <c r="B192" s="3" t="s">
        <v>278</v>
      </c>
      <c r="C192" s="3" t="s">
        <v>279</v>
      </c>
      <c r="D192" s="11" t="s">
        <v>21</v>
      </c>
      <c r="E192" s="5">
        <v>176</v>
      </c>
      <c r="F192" s="6">
        <f>176/514</f>
        <v>0.34241245136186771</v>
      </c>
      <c r="G192" s="7" t="s">
        <v>18</v>
      </c>
      <c r="H192" s="5">
        <v>177</v>
      </c>
      <c r="I192" s="6">
        <f>177/467</f>
        <v>0.37901498929336186</v>
      </c>
      <c r="J192" s="7" t="s">
        <v>18</v>
      </c>
      <c r="K192" s="5">
        <v>1</v>
      </c>
      <c r="L192" s="8">
        <f t="shared" si="2"/>
        <v>3.660253793149415E-2</v>
      </c>
      <c r="M192" s="5">
        <v>49</v>
      </c>
      <c r="N192" s="5">
        <v>467</v>
      </c>
    </row>
    <row r="193" spans="1:14" ht="19.95" customHeight="1" x14ac:dyDescent="0.3">
      <c r="A193" s="9">
        <v>192</v>
      </c>
      <c r="B193" s="10" t="s">
        <v>278</v>
      </c>
      <c r="C193" s="10" t="s">
        <v>279</v>
      </c>
      <c r="D193" s="18" t="s">
        <v>73</v>
      </c>
      <c r="E193" s="12">
        <v>259</v>
      </c>
      <c r="F193" s="13">
        <f>259/524</f>
        <v>0.49427480916030536</v>
      </c>
      <c r="G193" s="14" t="s">
        <v>18</v>
      </c>
      <c r="H193" s="12">
        <v>136</v>
      </c>
      <c r="I193" s="13">
        <f>136/437</f>
        <v>0.31121281464530892</v>
      </c>
      <c r="J193" s="14" t="s">
        <v>27</v>
      </c>
      <c r="K193" s="12">
        <v>-123</v>
      </c>
      <c r="L193" s="15">
        <f t="shared" si="2"/>
        <v>-0.18306199451499644</v>
      </c>
      <c r="M193" s="12">
        <v>1</v>
      </c>
      <c r="N193" s="12">
        <v>437</v>
      </c>
    </row>
    <row r="194" spans="1:14" ht="19.95" customHeight="1" x14ac:dyDescent="0.3">
      <c r="A194" s="2">
        <v>193</v>
      </c>
      <c r="B194" s="3" t="s">
        <v>280</v>
      </c>
      <c r="C194" s="3" t="s">
        <v>281</v>
      </c>
      <c r="D194" s="18" t="s">
        <v>43</v>
      </c>
      <c r="E194" s="5">
        <v>102</v>
      </c>
      <c r="F194" s="6">
        <f>102/277</f>
        <v>0.36823104693140796</v>
      </c>
      <c r="G194" s="7" t="s">
        <v>18</v>
      </c>
      <c r="H194" s="5">
        <v>32</v>
      </c>
      <c r="I194" s="6">
        <f>32/243</f>
        <v>0.13168724279835392</v>
      </c>
      <c r="J194" s="7" t="s">
        <v>17</v>
      </c>
      <c r="K194" s="5">
        <v>-70</v>
      </c>
      <c r="L194" s="8">
        <f t="shared" ref="L194:L225" si="3">I194-F194</f>
        <v>-0.23654380413305404</v>
      </c>
      <c r="M194" s="5">
        <v>33</v>
      </c>
      <c r="N194" s="5">
        <v>243</v>
      </c>
    </row>
    <row r="195" spans="1:14" ht="19.95" customHeight="1" x14ac:dyDescent="0.3">
      <c r="A195" s="9">
        <v>194</v>
      </c>
      <c r="B195" s="10" t="s">
        <v>282</v>
      </c>
      <c r="C195" s="10" t="s">
        <v>283</v>
      </c>
      <c r="D195" s="18" t="s">
        <v>43</v>
      </c>
      <c r="E195" s="12">
        <v>158</v>
      </c>
      <c r="F195" s="13">
        <f>158/397</f>
        <v>0.39798488664987408</v>
      </c>
      <c r="G195" s="14" t="s">
        <v>18</v>
      </c>
      <c r="H195" s="12">
        <v>114</v>
      </c>
      <c r="I195" s="13">
        <f>114/402</f>
        <v>0.28358208955223879</v>
      </c>
      <c r="J195" s="14" t="s">
        <v>17</v>
      </c>
      <c r="K195" s="12">
        <v>-44</v>
      </c>
      <c r="L195" s="15">
        <f t="shared" si="3"/>
        <v>-0.11440279709763529</v>
      </c>
      <c r="M195" s="12">
        <v>5</v>
      </c>
      <c r="N195" s="12">
        <v>402</v>
      </c>
    </row>
    <row r="196" spans="1:14" ht="19.95" customHeight="1" x14ac:dyDescent="0.3">
      <c r="A196" s="2">
        <v>195</v>
      </c>
      <c r="B196" s="3" t="s">
        <v>284</v>
      </c>
      <c r="C196" s="3" t="s">
        <v>285</v>
      </c>
      <c r="D196" s="4" t="s">
        <v>16</v>
      </c>
      <c r="E196" s="5">
        <v>202</v>
      </c>
      <c r="F196" s="6">
        <f>202/593</f>
        <v>0.34064080944350761</v>
      </c>
      <c r="G196" s="7" t="s">
        <v>17</v>
      </c>
      <c r="H196" s="5">
        <v>183</v>
      </c>
      <c r="I196" s="6">
        <f>183/560</f>
        <v>0.32678571428571429</v>
      </c>
      <c r="J196" s="7" t="s">
        <v>18</v>
      </c>
      <c r="K196" s="5">
        <v>-19</v>
      </c>
      <c r="L196" s="8">
        <f t="shared" si="3"/>
        <v>-1.3855095157793318E-2</v>
      </c>
      <c r="M196" s="5">
        <v>15</v>
      </c>
      <c r="N196" s="5">
        <v>560</v>
      </c>
    </row>
    <row r="197" spans="1:14" ht="19.95" customHeight="1" x14ac:dyDescent="0.3">
      <c r="A197" s="9">
        <v>196</v>
      </c>
      <c r="B197" s="10" t="s">
        <v>286</v>
      </c>
      <c r="C197" s="10" t="s">
        <v>287</v>
      </c>
      <c r="D197" s="16" t="s">
        <v>26</v>
      </c>
      <c r="E197" s="12">
        <v>191</v>
      </c>
      <c r="F197" s="13">
        <f>191/674</f>
        <v>0.28338278931750743</v>
      </c>
      <c r="G197" s="14" t="s">
        <v>17</v>
      </c>
      <c r="H197" s="12">
        <v>170</v>
      </c>
      <c r="I197" s="13">
        <f>170/592</f>
        <v>0.28716216216216217</v>
      </c>
      <c r="J197" s="14" t="s">
        <v>17</v>
      </c>
      <c r="K197" s="12">
        <v>-21</v>
      </c>
      <c r="L197" s="15">
        <f t="shared" si="3"/>
        <v>3.7793728446547381E-3</v>
      </c>
      <c r="M197" s="12">
        <v>16</v>
      </c>
      <c r="N197" s="12">
        <v>592</v>
      </c>
    </row>
    <row r="198" spans="1:14" ht="19.95" customHeight="1" x14ac:dyDescent="0.3">
      <c r="A198" s="2">
        <v>197</v>
      </c>
      <c r="B198" s="3" t="s">
        <v>288</v>
      </c>
      <c r="C198" s="3" t="s">
        <v>289</v>
      </c>
      <c r="D198" s="16" t="s">
        <v>26</v>
      </c>
      <c r="E198" s="5">
        <v>222</v>
      </c>
      <c r="F198" s="6">
        <f>222/714</f>
        <v>0.31092436974789917</v>
      </c>
      <c r="G198" s="7" t="s">
        <v>17</v>
      </c>
      <c r="H198" s="5">
        <v>219</v>
      </c>
      <c r="I198" s="6">
        <f>219/659</f>
        <v>0.33232169954476481</v>
      </c>
      <c r="J198" s="7" t="s">
        <v>17</v>
      </c>
      <c r="K198" s="5">
        <v>-3</v>
      </c>
      <c r="L198" s="8">
        <f t="shared" si="3"/>
        <v>2.139732979686565E-2</v>
      </c>
      <c r="M198" s="5">
        <v>96</v>
      </c>
      <c r="N198" s="5">
        <v>659</v>
      </c>
    </row>
    <row r="199" spans="1:14" ht="19.95" customHeight="1" x14ac:dyDescent="0.3">
      <c r="A199" s="9">
        <v>198</v>
      </c>
      <c r="B199" s="10" t="s">
        <v>290</v>
      </c>
      <c r="C199" s="10" t="s">
        <v>291</v>
      </c>
      <c r="D199" s="16" t="s">
        <v>26</v>
      </c>
      <c r="E199" s="12">
        <v>126</v>
      </c>
      <c r="F199" s="13">
        <f>126/657</f>
        <v>0.19178082191780821</v>
      </c>
      <c r="G199" s="14" t="s">
        <v>17</v>
      </c>
      <c r="H199" s="12">
        <v>137</v>
      </c>
      <c r="I199" s="13">
        <f>137/546</f>
        <v>0.25091575091575091</v>
      </c>
      <c r="J199" s="14" t="s">
        <v>17</v>
      </c>
      <c r="K199" s="12">
        <v>11</v>
      </c>
      <c r="L199" s="15">
        <f t="shared" si="3"/>
        <v>5.9134928997942704E-2</v>
      </c>
      <c r="M199" s="12">
        <v>110</v>
      </c>
      <c r="N199" s="12">
        <v>546</v>
      </c>
    </row>
    <row r="200" spans="1:14" ht="19.95" customHeight="1" x14ac:dyDescent="0.3">
      <c r="A200" s="2">
        <v>199</v>
      </c>
      <c r="B200" s="3" t="s">
        <v>292</v>
      </c>
      <c r="C200" s="3" t="s">
        <v>293</v>
      </c>
      <c r="D200" s="16" t="s">
        <v>26</v>
      </c>
      <c r="E200" s="5">
        <v>166</v>
      </c>
      <c r="F200" s="6">
        <f>166/618</f>
        <v>0.26860841423948217</v>
      </c>
      <c r="G200" s="7" t="s">
        <v>17</v>
      </c>
      <c r="H200" s="5">
        <v>117</v>
      </c>
      <c r="I200" s="6">
        <f>117/545</f>
        <v>0.21467889908256882</v>
      </c>
      <c r="J200" s="7" t="s">
        <v>17</v>
      </c>
      <c r="K200" s="5">
        <v>-49</v>
      </c>
      <c r="L200" s="8">
        <f t="shared" si="3"/>
        <v>-5.3929515156913355E-2</v>
      </c>
      <c r="M200" s="5">
        <v>46</v>
      </c>
      <c r="N200" s="5">
        <v>545</v>
      </c>
    </row>
    <row r="201" spans="1:14" ht="19.95" customHeight="1" x14ac:dyDescent="0.3">
      <c r="A201" s="9">
        <v>200</v>
      </c>
      <c r="B201" s="10" t="s">
        <v>294</v>
      </c>
      <c r="C201" s="10" t="s">
        <v>295</v>
      </c>
      <c r="D201" s="16" t="s">
        <v>26</v>
      </c>
      <c r="E201" s="12">
        <v>131</v>
      </c>
      <c r="F201" s="13">
        <f>131/452</f>
        <v>0.28982300884955753</v>
      </c>
      <c r="G201" s="14" t="s">
        <v>17</v>
      </c>
      <c r="H201" s="12">
        <v>121</v>
      </c>
      <c r="I201" s="13">
        <f>121/411</f>
        <v>0.2944038929440389</v>
      </c>
      <c r="J201" s="14" t="s">
        <v>17</v>
      </c>
      <c r="K201" s="12">
        <v>-10</v>
      </c>
      <c r="L201" s="15">
        <f t="shared" si="3"/>
        <v>4.5808840944813745E-3</v>
      </c>
      <c r="M201" s="12">
        <v>32</v>
      </c>
      <c r="N201" s="12">
        <v>411</v>
      </c>
    </row>
    <row r="202" spans="1:14" ht="19.95" customHeight="1" x14ac:dyDescent="0.3">
      <c r="A202" s="2">
        <v>201</v>
      </c>
      <c r="B202" s="3" t="s">
        <v>296</v>
      </c>
      <c r="C202" s="3" t="s">
        <v>297</v>
      </c>
      <c r="D202" s="4" t="s">
        <v>16</v>
      </c>
      <c r="E202" s="5">
        <v>192</v>
      </c>
      <c r="F202" s="6">
        <f>192/635</f>
        <v>0.30236220472440944</v>
      </c>
      <c r="G202" s="7" t="s">
        <v>27</v>
      </c>
      <c r="H202" s="5">
        <v>189</v>
      </c>
      <c r="I202" s="6">
        <f>189/525</f>
        <v>0.36</v>
      </c>
      <c r="J202" s="7" t="s">
        <v>18</v>
      </c>
      <c r="K202" s="5">
        <v>-3</v>
      </c>
      <c r="L202" s="8">
        <f t="shared" si="3"/>
        <v>5.7637795275590542E-2</v>
      </c>
      <c r="M202" s="5">
        <v>1</v>
      </c>
      <c r="N202" s="5">
        <v>525</v>
      </c>
    </row>
    <row r="203" spans="1:14" ht="19.95" customHeight="1" x14ac:dyDescent="0.3">
      <c r="A203" s="9">
        <v>202</v>
      </c>
      <c r="B203" s="10" t="s">
        <v>298</v>
      </c>
      <c r="C203" s="10" t="s">
        <v>299</v>
      </c>
      <c r="D203" s="4" t="s">
        <v>16</v>
      </c>
      <c r="E203" s="12">
        <v>112</v>
      </c>
      <c r="F203" s="13">
        <f>112/420</f>
        <v>0.26666666666666666</v>
      </c>
      <c r="G203" s="14" t="s">
        <v>27</v>
      </c>
      <c r="H203" s="12">
        <v>119</v>
      </c>
      <c r="I203" s="13">
        <f>119/354</f>
        <v>0.33615819209039549</v>
      </c>
      <c r="J203" s="14" t="s">
        <v>18</v>
      </c>
      <c r="K203" s="12">
        <v>7</v>
      </c>
      <c r="L203" s="15">
        <f t="shared" si="3"/>
        <v>6.9491525423728828E-2</v>
      </c>
      <c r="M203" s="12">
        <v>2</v>
      </c>
      <c r="N203" s="12">
        <v>354</v>
      </c>
    </row>
    <row r="204" spans="1:14" ht="19.95" customHeight="1" x14ac:dyDescent="0.3">
      <c r="A204" s="2">
        <v>203</v>
      </c>
      <c r="B204" s="3" t="s">
        <v>300</v>
      </c>
      <c r="C204" s="3" t="s">
        <v>301</v>
      </c>
      <c r="D204" s="4" t="s">
        <v>16</v>
      </c>
      <c r="E204" s="5">
        <v>170</v>
      </c>
      <c r="F204" s="6">
        <f>170/865</f>
        <v>0.19653179190751446</v>
      </c>
      <c r="G204" s="7" t="s">
        <v>17</v>
      </c>
      <c r="H204" s="5">
        <v>310</v>
      </c>
      <c r="I204" s="6">
        <f>310/788</f>
        <v>0.39340101522842641</v>
      </c>
      <c r="J204" s="7" t="s">
        <v>18</v>
      </c>
      <c r="K204" s="5">
        <v>140</v>
      </c>
      <c r="L204" s="8">
        <f t="shared" si="3"/>
        <v>0.19686922332091195</v>
      </c>
      <c r="M204" s="5">
        <v>116</v>
      </c>
      <c r="N204" s="5">
        <v>788</v>
      </c>
    </row>
    <row r="205" spans="1:14" ht="19.95" customHeight="1" x14ac:dyDescent="0.3">
      <c r="A205" s="9">
        <v>204</v>
      </c>
      <c r="B205" s="10" t="s">
        <v>300</v>
      </c>
      <c r="C205" s="10" t="s">
        <v>301</v>
      </c>
      <c r="D205" s="16" t="s">
        <v>26</v>
      </c>
      <c r="E205" s="12">
        <v>225</v>
      </c>
      <c r="F205" s="13">
        <f>225/852</f>
        <v>0.2640845070422535</v>
      </c>
      <c r="G205" s="14" t="s">
        <v>17</v>
      </c>
      <c r="H205" s="12">
        <v>192</v>
      </c>
      <c r="I205" s="13">
        <f>192/736</f>
        <v>0.2608695652173913</v>
      </c>
      <c r="J205" s="14" t="s">
        <v>17</v>
      </c>
      <c r="K205" s="12">
        <v>-33</v>
      </c>
      <c r="L205" s="15">
        <f t="shared" si="3"/>
        <v>-3.2149418248622053E-3</v>
      </c>
      <c r="M205" s="12">
        <v>25</v>
      </c>
      <c r="N205" s="12">
        <v>736</v>
      </c>
    </row>
    <row r="206" spans="1:14" ht="19.95" customHeight="1" x14ac:dyDescent="0.3">
      <c r="A206" s="2">
        <v>205</v>
      </c>
      <c r="B206" s="3" t="s">
        <v>302</v>
      </c>
      <c r="C206" s="3" t="s">
        <v>303</v>
      </c>
      <c r="D206" s="4" t="s">
        <v>16</v>
      </c>
      <c r="E206" s="5">
        <v>128</v>
      </c>
      <c r="F206" s="6">
        <f>128/613</f>
        <v>0.20880913539967375</v>
      </c>
      <c r="G206" s="7" t="s">
        <v>27</v>
      </c>
      <c r="H206" s="5">
        <v>238</v>
      </c>
      <c r="I206" s="6">
        <f>238/547</f>
        <v>0.43510054844606949</v>
      </c>
      <c r="J206" s="7" t="s">
        <v>18</v>
      </c>
      <c r="K206" s="5">
        <v>110</v>
      </c>
      <c r="L206" s="8">
        <f t="shared" si="3"/>
        <v>0.22629141304639575</v>
      </c>
      <c r="M206" s="5">
        <v>44</v>
      </c>
      <c r="N206" s="5">
        <v>547</v>
      </c>
    </row>
    <row r="207" spans="1:14" ht="19.95" customHeight="1" x14ac:dyDescent="0.3">
      <c r="A207" s="9">
        <v>206</v>
      </c>
      <c r="B207" s="10" t="s">
        <v>302</v>
      </c>
      <c r="C207" s="10" t="s">
        <v>303</v>
      </c>
      <c r="D207" s="16" t="s">
        <v>26</v>
      </c>
      <c r="E207" s="12">
        <v>116</v>
      </c>
      <c r="F207" s="13">
        <f>116/510</f>
        <v>0.22745098039215686</v>
      </c>
      <c r="G207" s="14" t="s">
        <v>17</v>
      </c>
      <c r="H207" s="12">
        <v>184</v>
      </c>
      <c r="I207" s="13">
        <f>184/442</f>
        <v>0.41628959276018102</v>
      </c>
      <c r="J207" s="14" t="s">
        <v>17</v>
      </c>
      <c r="K207" s="12">
        <v>68</v>
      </c>
      <c r="L207" s="15">
        <f t="shared" si="3"/>
        <v>0.18883861236802416</v>
      </c>
      <c r="M207" s="12">
        <v>16</v>
      </c>
      <c r="N207" s="12">
        <v>442</v>
      </c>
    </row>
    <row r="208" spans="1:14" ht="19.95" customHeight="1" x14ac:dyDescent="0.3">
      <c r="A208" s="2">
        <v>207</v>
      </c>
      <c r="B208" s="3" t="s">
        <v>304</v>
      </c>
      <c r="C208" s="3" t="s">
        <v>305</v>
      </c>
      <c r="D208" s="16" t="s">
        <v>26</v>
      </c>
      <c r="E208" s="5">
        <v>117</v>
      </c>
      <c r="F208" s="6">
        <f>117/581</f>
        <v>0.20137693631669534</v>
      </c>
      <c r="G208" s="7" t="s">
        <v>17</v>
      </c>
      <c r="H208" s="5">
        <v>127</v>
      </c>
      <c r="I208" s="6">
        <f>127/499</f>
        <v>0.25450901803607212</v>
      </c>
      <c r="J208" s="7" t="s">
        <v>17</v>
      </c>
      <c r="K208" s="5">
        <v>10</v>
      </c>
      <c r="L208" s="8">
        <f t="shared" si="3"/>
        <v>5.3132081719376778E-2</v>
      </c>
      <c r="M208" s="5">
        <v>55</v>
      </c>
      <c r="N208" s="5">
        <v>499</v>
      </c>
    </row>
    <row r="209" spans="1:14" ht="19.95" customHeight="1" x14ac:dyDescent="0.3">
      <c r="A209" s="9">
        <v>208</v>
      </c>
      <c r="B209" s="10" t="s">
        <v>306</v>
      </c>
      <c r="C209" s="10" t="s">
        <v>307</v>
      </c>
      <c r="D209" s="16" t="s">
        <v>26</v>
      </c>
      <c r="E209" s="12">
        <v>235</v>
      </c>
      <c r="F209" s="13">
        <f>235/550</f>
        <v>0.42727272727272725</v>
      </c>
      <c r="G209" s="14" t="s">
        <v>17</v>
      </c>
      <c r="H209" s="12">
        <v>184</v>
      </c>
      <c r="I209" s="13">
        <f>184/527</f>
        <v>0.34914611005692597</v>
      </c>
      <c r="J209" s="14" t="s">
        <v>17</v>
      </c>
      <c r="K209" s="12">
        <v>-51</v>
      </c>
      <c r="L209" s="15">
        <f t="shared" si="3"/>
        <v>-7.8126617215801275E-2</v>
      </c>
      <c r="M209" s="12">
        <v>29</v>
      </c>
      <c r="N209" s="12">
        <v>527</v>
      </c>
    </row>
    <row r="210" spans="1:14" ht="19.95" customHeight="1" x14ac:dyDescent="0.3">
      <c r="A210" s="2">
        <v>209</v>
      </c>
      <c r="B210" s="3" t="s">
        <v>308</v>
      </c>
      <c r="C210" s="3" t="s">
        <v>309</v>
      </c>
      <c r="D210" s="16" t="s">
        <v>26</v>
      </c>
      <c r="E210" s="5">
        <v>273</v>
      </c>
      <c r="F210" s="6">
        <f>273/864</f>
        <v>0.31597222222222221</v>
      </c>
      <c r="G210" s="7" t="s">
        <v>17</v>
      </c>
      <c r="H210" s="5">
        <v>316</v>
      </c>
      <c r="I210" s="6">
        <f>316/765</f>
        <v>0.41307189542483658</v>
      </c>
      <c r="J210" s="7" t="s">
        <v>17</v>
      </c>
      <c r="K210" s="5">
        <v>43</v>
      </c>
      <c r="L210" s="8">
        <f t="shared" si="3"/>
        <v>9.7099673202614367E-2</v>
      </c>
      <c r="M210" s="5">
        <v>37</v>
      </c>
      <c r="N210" s="5">
        <v>765</v>
      </c>
    </row>
    <row r="211" spans="1:14" ht="19.95" customHeight="1" x14ac:dyDescent="0.3">
      <c r="A211" s="9">
        <v>210</v>
      </c>
      <c r="B211" s="10" t="s">
        <v>310</v>
      </c>
      <c r="C211" s="10" t="s">
        <v>311</v>
      </c>
      <c r="D211" s="17" t="s">
        <v>36</v>
      </c>
      <c r="E211" s="12">
        <v>69</v>
      </c>
      <c r="F211" s="13">
        <f>69/619</f>
        <v>0.11147011308562198</v>
      </c>
      <c r="G211" s="14" t="s">
        <v>17</v>
      </c>
      <c r="H211" s="12">
        <v>60</v>
      </c>
      <c r="I211" s="13">
        <f>60/579</f>
        <v>0.10362694300518134</v>
      </c>
      <c r="J211" s="14" t="s">
        <v>17</v>
      </c>
      <c r="K211" s="12">
        <v>-9</v>
      </c>
      <c r="L211" s="15">
        <f t="shared" si="3"/>
        <v>-7.8431700804406368E-3</v>
      </c>
      <c r="M211" s="12">
        <v>50</v>
      </c>
      <c r="N211" s="12">
        <v>579</v>
      </c>
    </row>
    <row r="212" spans="1:14" ht="19.95" customHeight="1" x14ac:dyDescent="0.3">
      <c r="A212" s="2">
        <v>211</v>
      </c>
      <c r="B212" s="3" t="s">
        <v>312</v>
      </c>
      <c r="C212" s="3" t="s">
        <v>313</v>
      </c>
      <c r="D212" s="16" t="s">
        <v>26</v>
      </c>
      <c r="E212" s="5">
        <v>229</v>
      </c>
      <c r="F212" s="6">
        <f>229/648</f>
        <v>0.35339506172839508</v>
      </c>
      <c r="G212" s="7" t="s">
        <v>17</v>
      </c>
      <c r="H212" s="5">
        <v>181</v>
      </c>
      <c r="I212" s="6">
        <f>181/588</f>
        <v>0.30782312925170069</v>
      </c>
      <c r="J212" s="7" t="s">
        <v>17</v>
      </c>
      <c r="K212" s="5">
        <v>-48</v>
      </c>
      <c r="L212" s="8">
        <f t="shared" si="3"/>
        <v>-4.5571932476694388E-2</v>
      </c>
      <c r="M212" s="5">
        <v>54</v>
      </c>
      <c r="N212" s="5">
        <v>588</v>
      </c>
    </row>
    <row r="213" spans="1:14" ht="19.95" customHeight="1" x14ac:dyDescent="0.3">
      <c r="A213" s="9">
        <v>212</v>
      </c>
      <c r="B213" s="10" t="s">
        <v>314</v>
      </c>
      <c r="C213" s="10" t="s">
        <v>315</v>
      </c>
      <c r="D213" s="16" t="s">
        <v>26</v>
      </c>
      <c r="E213" s="12">
        <v>222</v>
      </c>
      <c r="F213" s="13">
        <f>222/815</f>
        <v>0.2723926380368098</v>
      </c>
      <c r="G213" s="14" t="s">
        <v>17</v>
      </c>
      <c r="H213" s="12">
        <v>213</v>
      </c>
      <c r="I213" s="13">
        <f>213/853</f>
        <v>0.24970691676436108</v>
      </c>
      <c r="J213" s="14" t="s">
        <v>17</v>
      </c>
      <c r="K213" s="12">
        <v>-9</v>
      </c>
      <c r="L213" s="15">
        <f t="shared" si="3"/>
        <v>-2.2685721272448722E-2</v>
      </c>
      <c r="M213" s="12">
        <v>343</v>
      </c>
      <c r="N213" s="12">
        <v>853</v>
      </c>
    </row>
    <row r="214" spans="1:14" ht="19.95" customHeight="1" x14ac:dyDescent="0.3">
      <c r="A214" s="2">
        <v>213</v>
      </c>
      <c r="B214" s="3" t="s">
        <v>316</v>
      </c>
      <c r="C214" s="3" t="s">
        <v>317</v>
      </c>
      <c r="D214" s="16" t="s">
        <v>26</v>
      </c>
      <c r="E214" s="5">
        <v>257</v>
      </c>
      <c r="F214" s="6">
        <f>257/815</f>
        <v>0.31533742331288345</v>
      </c>
      <c r="G214" s="7" t="s">
        <v>17</v>
      </c>
      <c r="H214" s="5">
        <v>198</v>
      </c>
      <c r="I214" s="6">
        <f>198/637</f>
        <v>0.31083202511773939</v>
      </c>
      <c r="J214" s="7" t="s">
        <v>17</v>
      </c>
      <c r="K214" s="5">
        <v>-59</v>
      </c>
      <c r="L214" s="8">
        <f t="shared" si="3"/>
        <v>-4.5053981951440614E-3</v>
      </c>
      <c r="M214" s="5">
        <v>81</v>
      </c>
      <c r="N214" s="5">
        <v>637</v>
      </c>
    </row>
    <row r="215" spans="1:14" ht="19.95" customHeight="1" x14ac:dyDescent="0.3">
      <c r="A215" s="9">
        <v>214</v>
      </c>
      <c r="B215" s="10" t="s">
        <v>318</v>
      </c>
      <c r="C215" s="10" t="s">
        <v>319</v>
      </c>
      <c r="D215" s="16" t="s">
        <v>26</v>
      </c>
      <c r="E215" s="12">
        <v>181</v>
      </c>
      <c r="F215" s="13">
        <f>181/594</f>
        <v>0.30471380471380471</v>
      </c>
      <c r="G215" s="14" t="s">
        <v>17</v>
      </c>
      <c r="H215" s="12">
        <v>132</v>
      </c>
      <c r="I215" s="13">
        <f>132/500</f>
        <v>0.26400000000000001</v>
      </c>
      <c r="J215" s="14" t="s">
        <v>66</v>
      </c>
      <c r="K215" s="12">
        <v>-49</v>
      </c>
      <c r="L215" s="15">
        <f t="shared" si="3"/>
        <v>-4.0713804713804702E-2</v>
      </c>
      <c r="M215" s="12">
        <v>1</v>
      </c>
      <c r="N215" s="12">
        <v>500</v>
      </c>
    </row>
    <row r="216" spans="1:14" ht="19.95" customHeight="1" x14ac:dyDescent="0.3">
      <c r="A216" s="2">
        <v>215</v>
      </c>
      <c r="B216" s="3" t="s">
        <v>318</v>
      </c>
      <c r="C216" s="3" t="s">
        <v>319</v>
      </c>
      <c r="D216" s="16" t="s">
        <v>26</v>
      </c>
      <c r="E216" s="5">
        <v>119</v>
      </c>
      <c r="F216" s="6">
        <f>119/586</f>
        <v>0.2030716723549488</v>
      </c>
      <c r="G216" s="7" t="s">
        <v>17</v>
      </c>
      <c r="H216" s="5">
        <v>181</v>
      </c>
      <c r="I216" s="6">
        <f>181/529</f>
        <v>0.34215500945179583</v>
      </c>
      <c r="J216" s="7" t="s">
        <v>17</v>
      </c>
      <c r="K216" s="5">
        <v>62</v>
      </c>
      <c r="L216" s="8">
        <f t="shared" si="3"/>
        <v>0.13908333709684703</v>
      </c>
      <c r="M216" s="5">
        <v>56</v>
      </c>
      <c r="N216" s="5">
        <v>529</v>
      </c>
    </row>
    <row r="217" spans="1:14" ht="19.95" customHeight="1" x14ac:dyDescent="0.3">
      <c r="A217" s="9">
        <v>216</v>
      </c>
      <c r="B217" s="10" t="s">
        <v>320</v>
      </c>
      <c r="C217" s="10" t="s">
        <v>321</v>
      </c>
      <c r="D217" s="16" t="s">
        <v>26</v>
      </c>
      <c r="E217" s="12">
        <v>102</v>
      </c>
      <c r="F217" s="13">
        <f>102/332</f>
        <v>0.30722891566265059</v>
      </c>
      <c r="G217" s="14" t="s">
        <v>27</v>
      </c>
      <c r="H217" s="12">
        <v>115</v>
      </c>
      <c r="I217" s="13">
        <f>115/328</f>
        <v>0.35060975609756095</v>
      </c>
      <c r="J217" s="14" t="s">
        <v>17</v>
      </c>
      <c r="K217" s="12">
        <v>13</v>
      </c>
      <c r="L217" s="15">
        <f t="shared" si="3"/>
        <v>4.3380840434910362E-2</v>
      </c>
      <c r="M217" s="12">
        <v>17</v>
      </c>
      <c r="N217" s="12">
        <v>328</v>
      </c>
    </row>
    <row r="218" spans="1:14" ht="19.95" customHeight="1" x14ac:dyDescent="0.3">
      <c r="A218" s="2">
        <v>217</v>
      </c>
      <c r="B218" s="3" t="s">
        <v>322</v>
      </c>
      <c r="C218" s="3" t="s">
        <v>323</v>
      </c>
      <c r="D218" s="16" t="s">
        <v>26</v>
      </c>
      <c r="E218" s="5">
        <v>162</v>
      </c>
      <c r="F218" s="6">
        <f>162/463</f>
        <v>0.34989200863930886</v>
      </c>
      <c r="G218" s="7" t="s">
        <v>17</v>
      </c>
      <c r="H218" s="5">
        <v>89</v>
      </c>
      <c r="I218" s="6">
        <f>89/440</f>
        <v>0.20227272727272727</v>
      </c>
      <c r="J218" s="7" t="s">
        <v>17</v>
      </c>
      <c r="K218" s="5">
        <v>-73</v>
      </c>
      <c r="L218" s="8">
        <f t="shared" si="3"/>
        <v>-0.14761928136658159</v>
      </c>
      <c r="M218" s="5">
        <v>141</v>
      </c>
      <c r="N218" s="5">
        <v>440</v>
      </c>
    </row>
    <row r="219" spans="1:14" ht="19.95" customHeight="1" x14ac:dyDescent="0.3">
      <c r="A219" s="9">
        <v>218</v>
      </c>
      <c r="B219" s="10" t="s">
        <v>324</v>
      </c>
      <c r="C219" s="10" t="s">
        <v>325</v>
      </c>
      <c r="D219" s="18" t="s">
        <v>43</v>
      </c>
      <c r="E219" s="12">
        <v>316</v>
      </c>
      <c r="F219" s="13">
        <f>316/707</f>
        <v>0.44695898161244696</v>
      </c>
      <c r="G219" s="14" t="s">
        <v>18</v>
      </c>
      <c r="H219" s="12">
        <v>124</v>
      </c>
      <c r="I219" s="13">
        <f>124/636</f>
        <v>0.19496855345911951</v>
      </c>
      <c r="J219" s="14" t="s">
        <v>17</v>
      </c>
      <c r="K219" s="12">
        <v>-192</v>
      </c>
      <c r="L219" s="15">
        <f t="shared" si="3"/>
        <v>-0.25199042815332745</v>
      </c>
      <c r="M219" s="12">
        <v>99</v>
      </c>
      <c r="N219" s="12">
        <v>636</v>
      </c>
    </row>
    <row r="220" spans="1:14" ht="19.95" customHeight="1" x14ac:dyDescent="0.3">
      <c r="A220" s="2">
        <v>219</v>
      </c>
      <c r="B220" s="3" t="s">
        <v>326</v>
      </c>
      <c r="C220" s="3" t="s">
        <v>327</v>
      </c>
      <c r="D220" s="16" t="s">
        <v>26</v>
      </c>
      <c r="E220" s="5">
        <v>124</v>
      </c>
      <c r="F220" s="6">
        <f>124/302</f>
        <v>0.41059602649006621</v>
      </c>
      <c r="G220" s="7" t="s">
        <v>17</v>
      </c>
      <c r="H220" s="5">
        <v>106</v>
      </c>
      <c r="I220" s="6">
        <f>106/285</f>
        <v>0.3719298245614035</v>
      </c>
      <c r="J220" s="7" t="s">
        <v>17</v>
      </c>
      <c r="K220" s="5">
        <v>-18</v>
      </c>
      <c r="L220" s="8">
        <f t="shared" si="3"/>
        <v>-3.8666201928662713E-2</v>
      </c>
      <c r="M220" s="5">
        <v>26</v>
      </c>
      <c r="N220" s="5">
        <v>285</v>
      </c>
    </row>
    <row r="221" spans="1:14" ht="19.95" customHeight="1" x14ac:dyDescent="0.3">
      <c r="A221" s="9">
        <v>220</v>
      </c>
      <c r="B221" s="10" t="s">
        <v>328</v>
      </c>
      <c r="C221" s="10" t="s">
        <v>329</v>
      </c>
      <c r="D221" s="18" t="s">
        <v>43</v>
      </c>
      <c r="E221" s="12">
        <v>326</v>
      </c>
      <c r="F221" s="13">
        <f>326/614</f>
        <v>0.53094462540716614</v>
      </c>
      <c r="G221" s="14" t="s">
        <v>18</v>
      </c>
      <c r="H221" s="12">
        <v>104</v>
      </c>
      <c r="I221" s="13">
        <f>104/576</f>
        <v>0.18055555555555555</v>
      </c>
      <c r="J221" s="14" t="s">
        <v>17</v>
      </c>
      <c r="K221" s="12">
        <v>-222</v>
      </c>
      <c r="L221" s="15">
        <f t="shared" si="3"/>
        <v>-0.35038906985161056</v>
      </c>
      <c r="M221" s="12">
        <v>96</v>
      </c>
      <c r="N221" s="12">
        <v>576</v>
      </c>
    </row>
    <row r="222" spans="1:14" ht="19.95" customHeight="1" x14ac:dyDescent="0.3">
      <c r="A222" s="2">
        <v>221</v>
      </c>
      <c r="B222" s="3" t="s">
        <v>330</v>
      </c>
      <c r="C222" s="3" t="s">
        <v>331</v>
      </c>
      <c r="D222" s="11" t="s">
        <v>21</v>
      </c>
      <c r="E222" s="5">
        <v>191</v>
      </c>
      <c r="F222" s="6">
        <f>191/485</f>
        <v>0.39381443298969071</v>
      </c>
      <c r="G222" s="7" t="s">
        <v>18</v>
      </c>
      <c r="H222" s="5">
        <v>155</v>
      </c>
      <c r="I222" s="6">
        <f>155/471</f>
        <v>0.32908704883227174</v>
      </c>
      <c r="J222" s="7" t="s">
        <v>18</v>
      </c>
      <c r="K222" s="5">
        <v>-36</v>
      </c>
      <c r="L222" s="8">
        <f t="shared" si="3"/>
        <v>-6.4727384157418966E-2</v>
      </c>
      <c r="M222" s="5">
        <v>39</v>
      </c>
      <c r="N222" s="5">
        <v>471</v>
      </c>
    </row>
    <row r="223" spans="1:14" ht="19.95" customHeight="1" x14ac:dyDescent="0.3">
      <c r="A223" s="9">
        <v>222</v>
      </c>
      <c r="B223" s="10" t="s">
        <v>332</v>
      </c>
      <c r="C223" s="10" t="s">
        <v>333</v>
      </c>
      <c r="D223" s="17" t="s">
        <v>36</v>
      </c>
      <c r="E223" s="12">
        <v>214</v>
      </c>
      <c r="F223" s="13">
        <f>214/523</f>
        <v>0.4091778202676864</v>
      </c>
      <c r="G223" s="14" t="s">
        <v>17</v>
      </c>
      <c r="H223" s="12">
        <v>91</v>
      </c>
      <c r="I223" s="13">
        <f>91/480</f>
        <v>0.18958333333333333</v>
      </c>
      <c r="J223" s="14" t="s">
        <v>17</v>
      </c>
      <c r="K223" s="12">
        <v>-123</v>
      </c>
      <c r="L223" s="15">
        <f t="shared" si="3"/>
        <v>-0.21959448693435307</v>
      </c>
      <c r="M223" s="12">
        <v>104</v>
      </c>
      <c r="N223" s="12">
        <v>480</v>
      </c>
    </row>
    <row r="224" spans="1:14" ht="19.95" customHeight="1" x14ac:dyDescent="0.3">
      <c r="A224" s="2">
        <v>223</v>
      </c>
      <c r="B224" s="3" t="s">
        <v>334</v>
      </c>
      <c r="C224" s="3" t="s">
        <v>335</v>
      </c>
      <c r="D224" s="17" t="s">
        <v>36</v>
      </c>
      <c r="E224" s="5">
        <v>182</v>
      </c>
      <c r="F224" s="6">
        <f>182/505</f>
        <v>0.36039603960396038</v>
      </c>
      <c r="G224" s="7" t="s">
        <v>17</v>
      </c>
      <c r="H224" s="5">
        <v>57</v>
      </c>
      <c r="I224" s="6">
        <f>57/464</f>
        <v>0.12284482758620689</v>
      </c>
      <c r="J224" s="7" t="s">
        <v>27</v>
      </c>
      <c r="K224" s="5">
        <v>-125</v>
      </c>
      <c r="L224" s="8">
        <f t="shared" si="3"/>
        <v>-0.23755121201775348</v>
      </c>
      <c r="M224" s="5">
        <v>35</v>
      </c>
      <c r="N224" s="5">
        <v>464</v>
      </c>
    </row>
    <row r="225" spans="1:14" ht="24" customHeight="1" x14ac:dyDescent="0.3">
      <c r="A225" s="19" t="s">
        <v>336</v>
      </c>
      <c r="B225" s="19" t="s">
        <v>337</v>
      </c>
      <c r="C225" s="19" t="s">
        <v>338</v>
      </c>
      <c r="D225" s="19" t="s">
        <v>339</v>
      </c>
      <c r="E225" s="20">
        <f>SUM(E2:E224)</f>
        <v>41125</v>
      </c>
      <c r="F225" s="21">
        <f>E225/SUM(N2:N224)</f>
        <v>0.34561437419636781</v>
      </c>
      <c r="G225" s="19" t="s">
        <v>340</v>
      </c>
      <c r="H225" s="20">
        <f>SUM(H2:H224)</f>
        <v>38654</v>
      </c>
      <c r="I225" s="21">
        <f>H225/SUM(N2:N224)</f>
        <v>0.32484809775529244</v>
      </c>
      <c r="J225" s="19" t="s">
        <v>341</v>
      </c>
      <c r="K225" s="20">
        <f>H225-E225</f>
        <v>-2471</v>
      </c>
      <c r="L225" s="22">
        <f t="shared" si="3"/>
        <v>-2.0766276441075371E-2</v>
      </c>
      <c r="M225" s="20">
        <f>SUM(M2:M224)</f>
        <v>17926</v>
      </c>
      <c r="N225" s="20">
        <f>SUM(N2:N224)</f>
        <v>118991</v>
      </c>
    </row>
  </sheetData>
  <pageMargins left="0.6" right="0.6" top="0.75" bottom="0.75" header="0" footer="0"/>
  <pageSetup scale="4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25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3" width="30" customWidth="1"/>
    <col min="4" max="4" width="28" customWidth="1"/>
    <col min="5" max="5" width="17" customWidth="1"/>
    <col min="6" max="6" width="21" customWidth="1"/>
    <col min="7" max="7" width="14" customWidth="1"/>
    <col min="8" max="8" width="17" customWidth="1"/>
    <col min="9" max="9" width="21" customWidth="1"/>
    <col min="10" max="10" width="15" customWidth="1"/>
    <col min="11" max="12" width="14" customWidth="1"/>
    <col min="13" max="13" width="16" customWidth="1"/>
    <col min="14" max="14" width="20" customWidth="1"/>
  </cols>
  <sheetData>
    <row r="1" spans="1:14" ht="28.05" customHeight="1" x14ac:dyDescent="0.3">
      <c r="A1" s="23" t="s">
        <v>0</v>
      </c>
      <c r="B1" s="23" t="s">
        <v>1</v>
      </c>
      <c r="C1" s="23" t="s">
        <v>2</v>
      </c>
      <c r="D1" s="23" t="s">
        <v>342</v>
      </c>
      <c r="E1" s="23" t="s">
        <v>343</v>
      </c>
      <c r="F1" s="23" t="s">
        <v>344</v>
      </c>
      <c r="G1" s="23" t="s">
        <v>6</v>
      </c>
      <c r="H1" s="23" t="s">
        <v>345</v>
      </c>
      <c r="I1" s="23" t="s">
        <v>346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</row>
    <row r="2" spans="1:14" ht="19.95" customHeight="1" x14ac:dyDescent="0.3">
      <c r="A2" s="2">
        <v>1</v>
      </c>
      <c r="B2" s="3" t="s">
        <v>14</v>
      </c>
      <c r="C2" s="3" t="s">
        <v>15</v>
      </c>
      <c r="D2" s="18" t="s">
        <v>347</v>
      </c>
      <c r="E2" s="5">
        <v>236</v>
      </c>
      <c r="F2" s="6">
        <f>236/537</f>
        <v>0.43947858472998136</v>
      </c>
      <c r="G2" s="7" t="s">
        <v>17</v>
      </c>
      <c r="H2" s="5">
        <v>62</v>
      </c>
      <c r="I2" s="6">
        <f>62/505</f>
        <v>0.12277227722772277</v>
      </c>
      <c r="J2" s="7" t="s">
        <v>18</v>
      </c>
      <c r="K2" s="5">
        <v>-174</v>
      </c>
      <c r="L2" s="8">
        <f t="shared" ref="L2:L65" si="0">I2-F2</f>
        <v>-0.31670630750225859</v>
      </c>
      <c r="M2" s="5">
        <v>171</v>
      </c>
      <c r="N2" s="5">
        <v>505</v>
      </c>
    </row>
    <row r="3" spans="1:14" ht="19.95" customHeight="1" x14ac:dyDescent="0.3">
      <c r="A3" s="9">
        <v>2</v>
      </c>
      <c r="B3" s="10" t="s">
        <v>19</v>
      </c>
      <c r="C3" s="10" t="s">
        <v>20</v>
      </c>
      <c r="D3" s="16" t="s">
        <v>26</v>
      </c>
      <c r="E3" s="12">
        <v>172</v>
      </c>
      <c r="F3" s="13">
        <f>172/622</f>
        <v>0.27652733118971062</v>
      </c>
      <c r="G3" s="14" t="s">
        <v>18</v>
      </c>
      <c r="H3" s="12">
        <v>129</v>
      </c>
      <c r="I3" s="13">
        <f>129/618</f>
        <v>0.20873786407766989</v>
      </c>
      <c r="J3" s="14" t="s">
        <v>18</v>
      </c>
      <c r="K3" s="12">
        <v>-43</v>
      </c>
      <c r="L3" s="15">
        <f t="shared" si="0"/>
        <v>-6.778946711204073E-2</v>
      </c>
      <c r="M3" s="12">
        <v>107</v>
      </c>
      <c r="N3" s="12">
        <v>618</v>
      </c>
    </row>
    <row r="4" spans="1:14" ht="19.95" customHeight="1" x14ac:dyDescent="0.3">
      <c r="A4" s="2">
        <v>3</v>
      </c>
      <c r="B4" s="3" t="s">
        <v>22</v>
      </c>
      <c r="C4" s="3" t="s">
        <v>23</v>
      </c>
      <c r="D4" s="18" t="s">
        <v>347</v>
      </c>
      <c r="E4" s="5">
        <v>176</v>
      </c>
      <c r="F4" s="6">
        <f>176/478</f>
        <v>0.3682008368200837</v>
      </c>
      <c r="G4" s="7" t="s">
        <v>17</v>
      </c>
      <c r="H4" s="5">
        <v>135</v>
      </c>
      <c r="I4" s="6">
        <f>135/425</f>
        <v>0.31764705882352939</v>
      </c>
      <c r="J4" s="7" t="s">
        <v>18</v>
      </c>
      <c r="K4" s="5">
        <v>-41</v>
      </c>
      <c r="L4" s="8">
        <f t="shared" si="0"/>
        <v>-5.0553777996554305E-2</v>
      </c>
      <c r="M4" s="5">
        <v>43</v>
      </c>
      <c r="N4" s="5">
        <v>425</v>
      </c>
    </row>
    <row r="5" spans="1:14" ht="19.95" customHeight="1" x14ac:dyDescent="0.3">
      <c r="A5" s="9">
        <v>4</v>
      </c>
      <c r="B5" s="10" t="s">
        <v>22</v>
      </c>
      <c r="C5" s="10" t="s">
        <v>23</v>
      </c>
      <c r="D5" s="18" t="s">
        <v>347</v>
      </c>
      <c r="E5" s="12">
        <v>178</v>
      </c>
      <c r="F5" s="13">
        <f>178/458</f>
        <v>0.388646288209607</v>
      </c>
      <c r="G5" s="14" t="s">
        <v>17</v>
      </c>
      <c r="H5" s="12">
        <v>166</v>
      </c>
      <c r="I5" s="13">
        <f>166/397</f>
        <v>0.41813602015113349</v>
      </c>
      <c r="J5" s="14" t="s">
        <v>18</v>
      </c>
      <c r="K5" s="12">
        <v>-12</v>
      </c>
      <c r="L5" s="15">
        <f t="shared" si="0"/>
        <v>2.9489731941526487E-2</v>
      </c>
      <c r="M5" s="12">
        <v>13</v>
      </c>
      <c r="N5" s="12">
        <v>397</v>
      </c>
    </row>
    <row r="6" spans="1:14" ht="19.95" customHeight="1" x14ac:dyDescent="0.3">
      <c r="A6" s="2">
        <v>5</v>
      </c>
      <c r="B6" s="3" t="s">
        <v>24</v>
      </c>
      <c r="C6" s="3" t="s">
        <v>25</v>
      </c>
      <c r="D6" s="16" t="s">
        <v>26</v>
      </c>
      <c r="E6" s="5">
        <v>188</v>
      </c>
      <c r="F6" s="6">
        <f>188/625</f>
        <v>0.30080000000000001</v>
      </c>
      <c r="G6" s="7" t="s">
        <v>18</v>
      </c>
      <c r="H6" s="5">
        <v>194</v>
      </c>
      <c r="I6" s="6">
        <f>194/589</f>
        <v>0.32937181663837012</v>
      </c>
      <c r="J6" s="7" t="s">
        <v>18</v>
      </c>
      <c r="K6" s="5">
        <v>6</v>
      </c>
      <c r="L6" s="8">
        <f t="shared" si="0"/>
        <v>2.8571816638370107E-2</v>
      </c>
      <c r="M6" s="5">
        <v>18</v>
      </c>
      <c r="N6" s="5">
        <v>589</v>
      </c>
    </row>
    <row r="7" spans="1:14" ht="19.95" customHeight="1" x14ac:dyDescent="0.3">
      <c r="A7" s="9">
        <v>6</v>
      </c>
      <c r="B7" s="10" t="s">
        <v>24</v>
      </c>
      <c r="C7" s="10" t="s">
        <v>25</v>
      </c>
      <c r="D7" s="4" t="s">
        <v>16</v>
      </c>
      <c r="E7" s="12">
        <v>150</v>
      </c>
      <c r="F7" s="13">
        <f>150/646</f>
        <v>0.23219814241486067</v>
      </c>
      <c r="G7" s="14" t="s">
        <v>27</v>
      </c>
      <c r="H7" s="12">
        <v>215</v>
      </c>
      <c r="I7" s="13">
        <f>215/562</f>
        <v>0.38256227758007116</v>
      </c>
      <c r="J7" s="14" t="s">
        <v>17</v>
      </c>
      <c r="K7" s="12">
        <v>65</v>
      </c>
      <c r="L7" s="15">
        <f t="shared" si="0"/>
        <v>0.15036413516521049</v>
      </c>
      <c r="M7" s="12">
        <v>28</v>
      </c>
      <c r="N7" s="12">
        <v>562</v>
      </c>
    </row>
    <row r="8" spans="1:14" ht="19.95" customHeight="1" x14ac:dyDescent="0.3">
      <c r="A8" s="2">
        <v>7</v>
      </c>
      <c r="B8" s="3" t="s">
        <v>28</v>
      </c>
      <c r="C8" s="3" t="s">
        <v>29</v>
      </c>
      <c r="D8" s="4" t="s">
        <v>16</v>
      </c>
      <c r="E8" s="5">
        <v>178</v>
      </c>
      <c r="F8" s="6">
        <f>178/672</f>
        <v>0.26488095238095238</v>
      </c>
      <c r="G8" s="7" t="s">
        <v>27</v>
      </c>
      <c r="H8" s="5">
        <v>246</v>
      </c>
      <c r="I8" s="6">
        <f>246/626</f>
        <v>0.39297124600638977</v>
      </c>
      <c r="J8" s="7" t="s">
        <v>17</v>
      </c>
      <c r="K8" s="5">
        <v>68</v>
      </c>
      <c r="L8" s="8">
        <f t="shared" si="0"/>
        <v>0.12809029362543739</v>
      </c>
      <c r="M8" s="5">
        <v>75</v>
      </c>
      <c r="N8" s="5">
        <v>626</v>
      </c>
    </row>
    <row r="9" spans="1:14" ht="19.95" customHeight="1" x14ac:dyDescent="0.3">
      <c r="A9" s="9">
        <v>8</v>
      </c>
      <c r="B9" s="10" t="s">
        <v>30</v>
      </c>
      <c r="C9" s="10" t="s">
        <v>31</v>
      </c>
      <c r="D9" s="11" t="s">
        <v>21</v>
      </c>
      <c r="E9" s="12">
        <v>334</v>
      </c>
      <c r="F9" s="13">
        <f>334/620</f>
        <v>0.53870967741935483</v>
      </c>
      <c r="G9" s="14" t="s">
        <v>17</v>
      </c>
      <c r="H9" s="12">
        <v>280</v>
      </c>
      <c r="I9" s="13">
        <f>280/534</f>
        <v>0.52434456928838946</v>
      </c>
      <c r="J9" s="14" t="s">
        <v>17</v>
      </c>
      <c r="K9" s="12">
        <v>-54</v>
      </c>
      <c r="L9" s="15">
        <f t="shared" si="0"/>
        <v>-1.4365108130965365E-2</v>
      </c>
      <c r="M9" s="12">
        <v>147</v>
      </c>
      <c r="N9" s="12">
        <v>534</v>
      </c>
    </row>
    <row r="10" spans="1:14" ht="19.95" customHeight="1" x14ac:dyDescent="0.3">
      <c r="A10" s="2">
        <v>9</v>
      </c>
      <c r="B10" s="3" t="s">
        <v>32</v>
      </c>
      <c r="C10" s="3" t="s">
        <v>33</v>
      </c>
      <c r="D10" s="11" t="s">
        <v>21</v>
      </c>
      <c r="E10" s="5">
        <v>300</v>
      </c>
      <c r="F10" s="6">
        <f>300/589</f>
        <v>0.50933786078098475</v>
      </c>
      <c r="G10" s="7" t="s">
        <v>17</v>
      </c>
      <c r="H10" s="5">
        <v>245</v>
      </c>
      <c r="I10" s="6">
        <f>245/577</f>
        <v>0.42461005199306762</v>
      </c>
      <c r="J10" s="7" t="s">
        <v>17</v>
      </c>
      <c r="K10" s="5">
        <v>-55</v>
      </c>
      <c r="L10" s="8">
        <f t="shared" si="0"/>
        <v>-8.4727808787917136E-2</v>
      </c>
      <c r="M10" s="5">
        <v>93</v>
      </c>
      <c r="N10" s="5">
        <v>577</v>
      </c>
    </row>
    <row r="11" spans="1:14" ht="19.95" customHeight="1" x14ac:dyDescent="0.3">
      <c r="A11" s="9">
        <v>10</v>
      </c>
      <c r="B11" s="10" t="s">
        <v>32</v>
      </c>
      <c r="C11" s="10" t="s">
        <v>33</v>
      </c>
      <c r="D11" s="18" t="s">
        <v>347</v>
      </c>
      <c r="E11" s="12">
        <v>329</v>
      </c>
      <c r="F11" s="13">
        <f>329/648</f>
        <v>0.50771604938271608</v>
      </c>
      <c r="G11" s="14" t="s">
        <v>17</v>
      </c>
      <c r="H11" s="12">
        <v>142</v>
      </c>
      <c r="I11" s="13">
        <f>142/562</f>
        <v>0.25266903914590749</v>
      </c>
      <c r="J11" s="14" t="s">
        <v>18</v>
      </c>
      <c r="K11" s="12">
        <v>-187</v>
      </c>
      <c r="L11" s="15">
        <f t="shared" si="0"/>
        <v>-0.25504701023680859</v>
      </c>
      <c r="M11" s="12">
        <v>87</v>
      </c>
      <c r="N11" s="12">
        <v>562</v>
      </c>
    </row>
    <row r="12" spans="1:14" ht="19.95" customHeight="1" x14ac:dyDescent="0.3">
      <c r="A12" s="2">
        <v>11</v>
      </c>
      <c r="B12" s="3" t="s">
        <v>34</v>
      </c>
      <c r="C12" s="3" t="s">
        <v>35</v>
      </c>
      <c r="D12" s="11" t="s">
        <v>21</v>
      </c>
      <c r="E12" s="5">
        <v>467</v>
      </c>
      <c r="F12" s="6">
        <f>467/730</f>
        <v>0.63972602739726026</v>
      </c>
      <c r="G12" s="7" t="s">
        <v>17</v>
      </c>
      <c r="H12" s="5">
        <v>509</v>
      </c>
      <c r="I12" s="6">
        <f>509/720</f>
        <v>0.70694444444444449</v>
      </c>
      <c r="J12" s="7" t="s">
        <v>17</v>
      </c>
      <c r="K12" s="5">
        <v>42</v>
      </c>
      <c r="L12" s="8">
        <f t="shared" si="0"/>
        <v>6.7218417047184231E-2</v>
      </c>
      <c r="M12" s="5">
        <v>381</v>
      </c>
      <c r="N12" s="5">
        <v>720</v>
      </c>
    </row>
    <row r="13" spans="1:14" ht="19.95" customHeight="1" x14ac:dyDescent="0.3">
      <c r="A13" s="9">
        <v>12</v>
      </c>
      <c r="B13" s="10" t="s">
        <v>37</v>
      </c>
      <c r="C13" s="10" t="s">
        <v>38</v>
      </c>
      <c r="D13" s="11" t="s">
        <v>21</v>
      </c>
      <c r="E13" s="12">
        <v>226</v>
      </c>
      <c r="F13" s="13">
        <f>226/418</f>
        <v>0.54066985645933019</v>
      </c>
      <c r="G13" s="14" t="s">
        <v>17</v>
      </c>
      <c r="H13" s="12">
        <v>159</v>
      </c>
      <c r="I13" s="13">
        <f>159/409</f>
        <v>0.38875305623471884</v>
      </c>
      <c r="J13" s="14" t="s">
        <v>17</v>
      </c>
      <c r="K13" s="12">
        <v>-67</v>
      </c>
      <c r="L13" s="15">
        <f t="shared" si="0"/>
        <v>-0.15191680022461135</v>
      </c>
      <c r="M13" s="12">
        <v>39</v>
      </c>
      <c r="N13" s="12">
        <v>409</v>
      </c>
    </row>
    <row r="14" spans="1:14" ht="19.95" customHeight="1" x14ac:dyDescent="0.3">
      <c r="A14" s="2">
        <v>13</v>
      </c>
      <c r="B14" s="3" t="s">
        <v>39</v>
      </c>
      <c r="C14" s="3" t="s">
        <v>40</v>
      </c>
      <c r="D14" s="17" t="s">
        <v>36</v>
      </c>
      <c r="E14" s="5">
        <v>188</v>
      </c>
      <c r="F14" s="6">
        <f>188/631</f>
        <v>0.29793977812995248</v>
      </c>
      <c r="G14" s="7" t="s">
        <v>18</v>
      </c>
      <c r="H14" s="5">
        <v>120</v>
      </c>
      <c r="I14" s="6">
        <f>120/604</f>
        <v>0.19867549668874171</v>
      </c>
      <c r="J14" s="7" t="s">
        <v>18</v>
      </c>
      <c r="K14" s="5">
        <v>-68</v>
      </c>
      <c r="L14" s="8">
        <f t="shared" si="0"/>
        <v>-9.9264281441210772E-2</v>
      </c>
      <c r="M14" s="5">
        <v>54</v>
      </c>
      <c r="N14" s="5">
        <v>604</v>
      </c>
    </row>
    <row r="15" spans="1:14" ht="19.95" customHeight="1" x14ac:dyDescent="0.3">
      <c r="A15" s="9">
        <v>14</v>
      </c>
      <c r="B15" s="10" t="s">
        <v>41</v>
      </c>
      <c r="C15" s="10" t="s">
        <v>42</v>
      </c>
      <c r="D15" s="4" t="s">
        <v>16</v>
      </c>
      <c r="E15" s="12">
        <v>139</v>
      </c>
      <c r="F15" s="13">
        <f>139/491</f>
        <v>0.28309572301425662</v>
      </c>
      <c r="G15" s="14" t="s">
        <v>18</v>
      </c>
      <c r="H15" s="12">
        <v>166</v>
      </c>
      <c r="I15" s="13">
        <f>166/453</f>
        <v>0.36644591611479027</v>
      </c>
      <c r="J15" s="14" t="s">
        <v>17</v>
      </c>
      <c r="K15" s="12">
        <v>27</v>
      </c>
      <c r="L15" s="15">
        <f t="shared" si="0"/>
        <v>8.3350193100533654E-2</v>
      </c>
      <c r="M15" s="12">
        <v>49</v>
      </c>
      <c r="N15" s="12">
        <v>453</v>
      </c>
    </row>
    <row r="16" spans="1:14" ht="19.95" customHeight="1" x14ac:dyDescent="0.3">
      <c r="A16" s="2">
        <v>15</v>
      </c>
      <c r="B16" s="3" t="s">
        <v>44</v>
      </c>
      <c r="C16" s="3" t="s">
        <v>45</v>
      </c>
      <c r="D16" s="16" t="s">
        <v>26</v>
      </c>
      <c r="E16" s="5">
        <v>126</v>
      </c>
      <c r="F16" s="6">
        <f>126/440</f>
        <v>0.28636363636363638</v>
      </c>
      <c r="G16" s="7" t="s">
        <v>18</v>
      </c>
      <c r="H16" s="5">
        <v>160</v>
      </c>
      <c r="I16" s="6">
        <f>160/426</f>
        <v>0.37558685446009388</v>
      </c>
      <c r="J16" s="7" t="s">
        <v>18</v>
      </c>
      <c r="K16" s="5">
        <v>34</v>
      </c>
      <c r="L16" s="8">
        <f t="shared" si="0"/>
        <v>8.9223218096457502E-2</v>
      </c>
      <c r="M16" s="5">
        <v>12</v>
      </c>
      <c r="N16" s="5">
        <v>426</v>
      </c>
    </row>
    <row r="17" spans="1:14" ht="19.95" customHeight="1" x14ac:dyDescent="0.3">
      <c r="A17" s="9">
        <v>16</v>
      </c>
      <c r="B17" s="10" t="s">
        <v>46</v>
      </c>
      <c r="C17" s="10" t="s">
        <v>47</v>
      </c>
      <c r="D17" s="4" t="s">
        <v>16</v>
      </c>
      <c r="E17" s="12">
        <v>138</v>
      </c>
      <c r="F17" s="13">
        <f>138/598</f>
        <v>0.23076923076923078</v>
      </c>
      <c r="G17" s="14" t="s">
        <v>27</v>
      </c>
      <c r="H17" s="12">
        <v>228</v>
      </c>
      <c r="I17" s="13">
        <f>228/542</f>
        <v>0.42066420664206644</v>
      </c>
      <c r="J17" s="14" t="s">
        <v>17</v>
      </c>
      <c r="K17" s="12">
        <v>90</v>
      </c>
      <c r="L17" s="15">
        <f t="shared" si="0"/>
        <v>0.18989497587283566</v>
      </c>
      <c r="M17" s="12">
        <v>82</v>
      </c>
      <c r="N17" s="12">
        <v>542</v>
      </c>
    </row>
    <row r="18" spans="1:14" ht="19.95" customHeight="1" x14ac:dyDescent="0.3">
      <c r="A18" s="2">
        <v>17</v>
      </c>
      <c r="B18" s="3" t="s">
        <v>46</v>
      </c>
      <c r="C18" s="3" t="s">
        <v>47</v>
      </c>
      <c r="D18" s="4" t="s">
        <v>16</v>
      </c>
      <c r="E18" s="5">
        <v>168</v>
      </c>
      <c r="F18" s="6">
        <f>168/737</f>
        <v>0.22795115332428764</v>
      </c>
      <c r="G18" s="7" t="s">
        <v>27</v>
      </c>
      <c r="H18" s="5">
        <v>297</v>
      </c>
      <c r="I18" s="6">
        <f>297/749</f>
        <v>0.39652870493991987</v>
      </c>
      <c r="J18" s="7" t="s">
        <v>17</v>
      </c>
      <c r="K18" s="5">
        <v>129</v>
      </c>
      <c r="L18" s="8">
        <f t="shared" si="0"/>
        <v>0.16857755161563223</v>
      </c>
      <c r="M18" s="5">
        <v>117</v>
      </c>
      <c r="N18" s="5">
        <v>749</v>
      </c>
    </row>
    <row r="19" spans="1:14" ht="19.95" customHeight="1" x14ac:dyDescent="0.3">
      <c r="A19" s="9">
        <v>18</v>
      </c>
      <c r="B19" s="10" t="s">
        <v>48</v>
      </c>
      <c r="C19" s="10" t="s">
        <v>49</v>
      </c>
      <c r="D19" s="11" t="s">
        <v>21</v>
      </c>
      <c r="E19" s="12">
        <v>269</v>
      </c>
      <c r="F19" s="13">
        <f>269/649</f>
        <v>0.41448382126348227</v>
      </c>
      <c r="G19" s="14" t="s">
        <v>17</v>
      </c>
      <c r="H19" s="12">
        <v>244</v>
      </c>
      <c r="I19" s="13">
        <f>244/556</f>
        <v>0.43884892086330934</v>
      </c>
      <c r="J19" s="14" t="s">
        <v>17</v>
      </c>
      <c r="K19" s="12">
        <v>-25</v>
      </c>
      <c r="L19" s="15">
        <f t="shared" si="0"/>
        <v>2.4365099599827078E-2</v>
      </c>
      <c r="M19" s="12">
        <v>27</v>
      </c>
      <c r="N19" s="12">
        <v>556</v>
      </c>
    </row>
    <row r="20" spans="1:14" ht="19.95" customHeight="1" x14ac:dyDescent="0.3">
      <c r="A20" s="2">
        <v>19</v>
      </c>
      <c r="B20" s="3" t="s">
        <v>48</v>
      </c>
      <c r="C20" s="3" t="s">
        <v>49</v>
      </c>
      <c r="D20" s="4" t="s">
        <v>16</v>
      </c>
      <c r="E20" s="5">
        <v>214</v>
      </c>
      <c r="F20" s="6">
        <f>214/808</f>
        <v>0.26485148514851486</v>
      </c>
      <c r="G20" s="7" t="s">
        <v>18</v>
      </c>
      <c r="H20" s="5">
        <v>295</v>
      </c>
      <c r="I20" s="6">
        <f>295/676</f>
        <v>0.43639053254437871</v>
      </c>
      <c r="J20" s="7" t="s">
        <v>17</v>
      </c>
      <c r="K20" s="5">
        <v>81</v>
      </c>
      <c r="L20" s="8">
        <f t="shared" si="0"/>
        <v>0.17153904739586384</v>
      </c>
      <c r="M20" s="5">
        <v>59</v>
      </c>
      <c r="N20" s="5">
        <v>676</v>
      </c>
    </row>
    <row r="21" spans="1:14" ht="19.95" customHeight="1" x14ac:dyDescent="0.3">
      <c r="A21" s="9">
        <v>20</v>
      </c>
      <c r="B21" s="10" t="s">
        <v>48</v>
      </c>
      <c r="C21" s="10" t="s">
        <v>49</v>
      </c>
      <c r="D21" s="4" t="s">
        <v>16</v>
      </c>
      <c r="E21" s="12">
        <v>120</v>
      </c>
      <c r="F21" s="13">
        <f>120/612</f>
        <v>0.19607843137254902</v>
      </c>
      <c r="G21" s="14" t="s">
        <v>18</v>
      </c>
      <c r="H21" s="12">
        <v>193</v>
      </c>
      <c r="I21" s="13">
        <f>193/498</f>
        <v>0.38755020080321284</v>
      </c>
      <c r="J21" s="14" t="s">
        <v>17</v>
      </c>
      <c r="K21" s="12">
        <v>73</v>
      </c>
      <c r="L21" s="15">
        <f t="shared" si="0"/>
        <v>0.19147176943066382</v>
      </c>
      <c r="M21" s="12">
        <v>21</v>
      </c>
      <c r="N21" s="12">
        <v>498</v>
      </c>
    </row>
    <row r="22" spans="1:14" ht="19.95" customHeight="1" x14ac:dyDescent="0.3">
      <c r="A22" s="2">
        <v>21</v>
      </c>
      <c r="B22" s="3" t="s">
        <v>50</v>
      </c>
      <c r="C22" s="3" t="s">
        <v>51</v>
      </c>
      <c r="D22" s="11" t="s">
        <v>21</v>
      </c>
      <c r="E22" s="5">
        <v>173</v>
      </c>
      <c r="F22" s="6">
        <f>173/381</f>
        <v>0.45406824146981628</v>
      </c>
      <c r="G22" s="7" t="s">
        <v>17</v>
      </c>
      <c r="H22" s="5">
        <v>170</v>
      </c>
      <c r="I22" s="6">
        <f>170/349</f>
        <v>0.4871060171919771</v>
      </c>
      <c r="J22" s="7" t="s">
        <v>17</v>
      </c>
      <c r="K22" s="5">
        <v>-3</v>
      </c>
      <c r="L22" s="8">
        <f t="shared" si="0"/>
        <v>3.3037775722160823E-2</v>
      </c>
      <c r="M22" s="5">
        <v>89</v>
      </c>
      <c r="N22" s="5">
        <v>349</v>
      </c>
    </row>
    <row r="23" spans="1:14" ht="19.95" customHeight="1" x14ac:dyDescent="0.3">
      <c r="A23" s="9">
        <v>22</v>
      </c>
      <c r="B23" s="10" t="s">
        <v>52</v>
      </c>
      <c r="C23" s="10" t="s">
        <v>53</v>
      </c>
      <c r="D23" s="18" t="s">
        <v>347</v>
      </c>
      <c r="E23" s="12">
        <v>122</v>
      </c>
      <c r="F23" s="13">
        <f>122/353</f>
        <v>0.34560906515580736</v>
      </c>
      <c r="G23" s="14" t="s">
        <v>17</v>
      </c>
      <c r="H23" s="12">
        <v>84</v>
      </c>
      <c r="I23" s="13">
        <f>84/327</f>
        <v>0.25688073394495414</v>
      </c>
      <c r="J23" s="14" t="s">
        <v>18</v>
      </c>
      <c r="K23" s="12">
        <v>-38</v>
      </c>
      <c r="L23" s="15">
        <f t="shared" si="0"/>
        <v>-8.8728331210853217E-2</v>
      </c>
      <c r="M23" s="12">
        <v>97</v>
      </c>
      <c r="N23" s="12">
        <v>327</v>
      </c>
    </row>
    <row r="24" spans="1:14" ht="19.95" customHeight="1" x14ac:dyDescent="0.3">
      <c r="A24" s="2">
        <v>23</v>
      </c>
      <c r="B24" s="3" t="s">
        <v>54</v>
      </c>
      <c r="C24" s="3" t="s">
        <v>55</v>
      </c>
      <c r="D24" s="4" t="s">
        <v>16</v>
      </c>
      <c r="E24" s="5">
        <v>272</v>
      </c>
      <c r="F24" s="6">
        <f>272/856</f>
        <v>0.31775700934579437</v>
      </c>
      <c r="G24" s="7" t="s">
        <v>18</v>
      </c>
      <c r="H24" s="5">
        <v>332</v>
      </c>
      <c r="I24" s="6">
        <f>332/738</f>
        <v>0.44986449864498645</v>
      </c>
      <c r="J24" s="7" t="s">
        <v>17</v>
      </c>
      <c r="K24" s="5">
        <v>60</v>
      </c>
      <c r="L24" s="8">
        <f t="shared" si="0"/>
        <v>0.13210748929919208</v>
      </c>
      <c r="M24" s="5">
        <v>160</v>
      </c>
      <c r="N24" s="5">
        <v>738</v>
      </c>
    </row>
    <row r="25" spans="1:14" ht="19.95" customHeight="1" x14ac:dyDescent="0.3">
      <c r="A25" s="9">
        <v>24</v>
      </c>
      <c r="B25" s="10" t="s">
        <v>54</v>
      </c>
      <c r="C25" s="10" t="s">
        <v>55</v>
      </c>
      <c r="D25" s="4" t="s">
        <v>16</v>
      </c>
      <c r="E25" s="12">
        <v>183</v>
      </c>
      <c r="F25" s="13">
        <f>183/772</f>
        <v>0.23704663212435234</v>
      </c>
      <c r="G25" s="14" t="s">
        <v>18</v>
      </c>
      <c r="H25" s="12">
        <v>237</v>
      </c>
      <c r="I25" s="13">
        <f>237/627</f>
        <v>0.37799043062200954</v>
      </c>
      <c r="J25" s="14" t="s">
        <v>17</v>
      </c>
      <c r="K25" s="12">
        <v>54</v>
      </c>
      <c r="L25" s="15">
        <f t="shared" si="0"/>
        <v>0.1409437984976572</v>
      </c>
      <c r="M25" s="12">
        <v>83</v>
      </c>
      <c r="N25" s="12">
        <v>627</v>
      </c>
    </row>
    <row r="26" spans="1:14" ht="19.95" customHeight="1" x14ac:dyDescent="0.3">
      <c r="A26" s="2">
        <v>25</v>
      </c>
      <c r="B26" s="3" t="s">
        <v>54</v>
      </c>
      <c r="C26" s="3" t="s">
        <v>55</v>
      </c>
      <c r="D26" s="4" t="s">
        <v>16</v>
      </c>
      <c r="E26" s="5">
        <v>229</v>
      </c>
      <c r="F26" s="6">
        <f>229/729</f>
        <v>0.31412894375857336</v>
      </c>
      <c r="G26" s="7" t="s">
        <v>18</v>
      </c>
      <c r="H26" s="5">
        <v>269</v>
      </c>
      <c r="I26" s="6">
        <f>269/648</f>
        <v>0.41512345679012347</v>
      </c>
      <c r="J26" s="7" t="s">
        <v>17</v>
      </c>
      <c r="K26" s="5">
        <v>40</v>
      </c>
      <c r="L26" s="8">
        <f t="shared" si="0"/>
        <v>0.1009945130315501</v>
      </c>
      <c r="M26" s="5">
        <v>119</v>
      </c>
      <c r="N26" s="5">
        <v>648</v>
      </c>
    </row>
    <row r="27" spans="1:14" ht="19.95" customHeight="1" x14ac:dyDescent="0.3">
      <c r="A27" s="9">
        <v>26</v>
      </c>
      <c r="B27" s="10" t="s">
        <v>54</v>
      </c>
      <c r="C27" s="10" t="s">
        <v>55</v>
      </c>
      <c r="D27" s="4" t="s">
        <v>16</v>
      </c>
      <c r="E27" s="12">
        <v>163</v>
      </c>
      <c r="F27" s="13">
        <f>163/677</f>
        <v>0.24076809453471196</v>
      </c>
      <c r="G27" s="14" t="s">
        <v>18</v>
      </c>
      <c r="H27" s="12">
        <v>235</v>
      </c>
      <c r="I27" s="13">
        <f>235/565</f>
        <v>0.41592920353982299</v>
      </c>
      <c r="J27" s="14" t="s">
        <v>17</v>
      </c>
      <c r="K27" s="12">
        <v>72</v>
      </c>
      <c r="L27" s="15">
        <f t="shared" si="0"/>
        <v>0.17516110900511103</v>
      </c>
      <c r="M27" s="12">
        <v>109</v>
      </c>
      <c r="N27" s="12">
        <v>565</v>
      </c>
    </row>
    <row r="28" spans="1:14" ht="19.95" customHeight="1" x14ac:dyDescent="0.3">
      <c r="A28" s="2">
        <v>27</v>
      </c>
      <c r="B28" s="3" t="s">
        <v>56</v>
      </c>
      <c r="C28" s="3" t="s">
        <v>57</v>
      </c>
      <c r="D28" s="16" t="s">
        <v>26</v>
      </c>
      <c r="E28" s="5">
        <v>91</v>
      </c>
      <c r="F28" s="6">
        <f>91/368</f>
        <v>0.24728260869565216</v>
      </c>
      <c r="G28" s="7" t="s">
        <v>18</v>
      </c>
      <c r="H28" s="5">
        <v>110</v>
      </c>
      <c r="I28" s="6">
        <f>110/335</f>
        <v>0.32835820895522388</v>
      </c>
      <c r="J28" s="7" t="s">
        <v>18</v>
      </c>
      <c r="K28" s="5">
        <v>19</v>
      </c>
      <c r="L28" s="8">
        <f t="shared" si="0"/>
        <v>8.1075600259571723E-2</v>
      </c>
      <c r="M28" s="5">
        <v>12</v>
      </c>
      <c r="N28" s="5">
        <v>335</v>
      </c>
    </row>
    <row r="29" spans="1:14" ht="19.95" customHeight="1" x14ac:dyDescent="0.3">
      <c r="A29" s="9">
        <v>28</v>
      </c>
      <c r="B29" s="10" t="s">
        <v>58</v>
      </c>
      <c r="C29" s="10" t="s">
        <v>59</v>
      </c>
      <c r="D29" s="16" t="s">
        <v>26</v>
      </c>
      <c r="E29" s="12">
        <v>148</v>
      </c>
      <c r="F29" s="13">
        <f>148/362</f>
        <v>0.40883977900552487</v>
      </c>
      <c r="G29" s="14" t="s">
        <v>18</v>
      </c>
      <c r="H29" s="12">
        <v>140</v>
      </c>
      <c r="I29" s="13">
        <f>140/362</f>
        <v>0.38674033149171272</v>
      </c>
      <c r="J29" s="14" t="s">
        <v>18</v>
      </c>
      <c r="K29" s="12">
        <v>-8</v>
      </c>
      <c r="L29" s="15">
        <f t="shared" si="0"/>
        <v>-2.2099447513812154E-2</v>
      </c>
      <c r="M29" s="12">
        <v>63</v>
      </c>
      <c r="N29" s="12">
        <v>362</v>
      </c>
    </row>
    <row r="30" spans="1:14" ht="19.95" customHeight="1" x14ac:dyDescent="0.3">
      <c r="A30" s="2">
        <v>29</v>
      </c>
      <c r="B30" s="3" t="s">
        <v>60</v>
      </c>
      <c r="C30" s="3" t="s">
        <v>61</v>
      </c>
      <c r="D30" s="11" t="s">
        <v>21</v>
      </c>
      <c r="E30" s="5">
        <v>293</v>
      </c>
      <c r="F30" s="6">
        <f>293/778</f>
        <v>0.37660668380462725</v>
      </c>
      <c r="G30" s="7" t="s">
        <v>17</v>
      </c>
      <c r="H30" s="5">
        <v>316</v>
      </c>
      <c r="I30" s="6">
        <f>316/732</f>
        <v>0.43169398907103823</v>
      </c>
      <c r="J30" s="7" t="s">
        <v>17</v>
      </c>
      <c r="K30" s="5">
        <v>23</v>
      </c>
      <c r="L30" s="8">
        <f t="shared" si="0"/>
        <v>5.508730526641098E-2</v>
      </c>
      <c r="M30" s="5">
        <v>65</v>
      </c>
      <c r="N30" s="5">
        <v>732</v>
      </c>
    </row>
    <row r="31" spans="1:14" ht="19.95" customHeight="1" x14ac:dyDescent="0.3">
      <c r="A31" s="9">
        <v>30</v>
      </c>
      <c r="B31" s="10" t="s">
        <v>62</v>
      </c>
      <c r="C31" s="10" t="s">
        <v>63</v>
      </c>
      <c r="D31" s="4" t="s">
        <v>16</v>
      </c>
      <c r="E31" s="12">
        <v>196</v>
      </c>
      <c r="F31" s="13">
        <f>196/570</f>
        <v>0.34385964912280703</v>
      </c>
      <c r="G31" s="14" t="s">
        <v>18</v>
      </c>
      <c r="H31" s="12">
        <v>291</v>
      </c>
      <c r="I31" s="13">
        <f>291/560</f>
        <v>0.51964285714285718</v>
      </c>
      <c r="J31" s="14" t="s">
        <v>17</v>
      </c>
      <c r="K31" s="12">
        <v>95</v>
      </c>
      <c r="L31" s="15">
        <f t="shared" si="0"/>
        <v>0.17578320802005015</v>
      </c>
      <c r="M31" s="12">
        <v>121</v>
      </c>
      <c r="N31" s="12">
        <v>560</v>
      </c>
    </row>
    <row r="32" spans="1:14" ht="19.95" customHeight="1" x14ac:dyDescent="0.3">
      <c r="A32" s="2">
        <v>31</v>
      </c>
      <c r="B32" s="3" t="s">
        <v>62</v>
      </c>
      <c r="C32" s="3" t="s">
        <v>64</v>
      </c>
      <c r="D32" s="4" t="s">
        <v>16</v>
      </c>
      <c r="E32" s="5">
        <v>146</v>
      </c>
      <c r="F32" s="6">
        <f>146/541</f>
        <v>0.26987060998151569</v>
      </c>
      <c r="G32" s="7" t="s">
        <v>27</v>
      </c>
      <c r="H32" s="5">
        <v>257</v>
      </c>
      <c r="I32" s="6">
        <f>257/537</f>
        <v>0.47858472998137802</v>
      </c>
      <c r="J32" s="7" t="s">
        <v>17</v>
      </c>
      <c r="K32" s="5">
        <v>111</v>
      </c>
      <c r="L32" s="8">
        <f t="shared" si="0"/>
        <v>0.20871411999986234</v>
      </c>
      <c r="M32" s="5">
        <v>78</v>
      </c>
      <c r="N32" s="5">
        <v>537</v>
      </c>
    </row>
    <row r="33" spans="1:14" ht="19.95" customHeight="1" x14ac:dyDescent="0.3">
      <c r="A33" s="9">
        <v>32</v>
      </c>
      <c r="B33" s="10" t="s">
        <v>62</v>
      </c>
      <c r="C33" s="10" t="s">
        <v>64</v>
      </c>
      <c r="D33" s="4" t="s">
        <v>16</v>
      </c>
      <c r="E33" s="12">
        <v>177</v>
      </c>
      <c r="F33" s="13">
        <f>177/725</f>
        <v>0.24413793103448275</v>
      </c>
      <c r="G33" s="14" t="s">
        <v>18</v>
      </c>
      <c r="H33" s="12">
        <v>306</v>
      </c>
      <c r="I33" s="13">
        <f>306/713</f>
        <v>0.42917251051893407</v>
      </c>
      <c r="J33" s="14" t="s">
        <v>17</v>
      </c>
      <c r="K33" s="12">
        <v>129</v>
      </c>
      <c r="L33" s="15">
        <f t="shared" si="0"/>
        <v>0.18503457948445132</v>
      </c>
      <c r="M33" s="12">
        <v>60</v>
      </c>
      <c r="N33" s="12">
        <v>713</v>
      </c>
    </row>
    <row r="34" spans="1:14" ht="19.95" customHeight="1" x14ac:dyDescent="0.3">
      <c r="A34" s="2">
        <v>33</v>
      </c>
      <c r="B34" s="3" t="s">
        <v>52</v>
      </c>
      <c r="C34" s="3" t="s">
        <v>53</v>
      </c>
      <c r="D34" s="17" t="s">
        <v>36</v>
      </c>
      <c r="E34" s="5">
        <v>244</v>
      </c>
      <c r="F34" s="6">
        <f>244/774</f>
        <v>0.3152454780361757</v>
      </c>
      <c r="G34" s="7" t="s">
        <v>18</v>
      </c>
      <c r="H34" s="5">
        <v>141</v>
      </c>
      <c r="I34" s="6">
        <f>141/743</f>
        <v>0.18977119784656796</v>
      </c>
      <c r="J34" s="7" t="s">
        <v>66</v>
      </c>
      <c r="K34" s="5">
        <v>-103</v>
      </c>
      <c r="L34" s="8">
        <f t="shared" si="0"/>
        <v>-0.12547428018960774</v>
      </c>
      <c r="M34" s="5">
        <v>215</v>
      </c>
      <c r="N34" s="5">
        <v>743</v>
      </c>
    </row>
    <row r="35" spans="1:14" ht="19.95" customHeight="1" x14ac:dyDescent="0.3">
      <c r="A35" s="9">
        <v>34</v>
      </c>
      <c r="B35" s="10" t="s">
        <v>52</v>
      </c>
      <c r="C35" s="10" t="s">
        <v>53</v>
      </c>
      <c r="D35" s="17" t="s">
        <v>36</v>
      </c>
      <c r="E35" s="12">
        <v>210</v>
      </c>
      <c r="F35" s="13">
        <f>210/756</f>
        <v>0.27777777777777779</v>
      </c>
      <c r="G35" s="14" t="s">
        <v>18</v>
      </c>
      <c r="H35" s="12">
        <v>107</v>
      </c>
      <c r="I35" s="13">
        <f>107/750</f>
        <v>0.14266666666666666</v>
      </c>
      <c r="J35" s="14" t="s">
        <v>66</v>
      </c>
      <c r="K35" s="12">
        <v>-103</v>
      </c>
      <c r="L35" s="15">
        <f t="shared" si="0"/>
        <v>-0.13511111111111113</v>
      </c>
      <c r="M35" s="12">
        <v>195</v>
      </c>
      <c r="N35" s="12">
        <v>750</v>
      </c>
    </row>
    <row r="36" spans="1:14" ht="19.95" customHeight="1" x14ac:dyDescent="0.3">
      <c r="A36" s="2">
        <v>35</v>
      </c>
      <c r="B36" s="3" t="s">
        <v>52</v>
      </c>
      <c r="C36" s="3" t="s">
        <v>53</v>
      </c>
      <c r="D36" s="16" t="s">
        <v>26</v>
      </c>
      <c r="E36" s="5">
        <v>157</v>
      </c>
      <c r="F36" s="6">
        <f>157/640</f>
        <v>0.24531249999999999</v>
      </c>
      <c r="G36" s="7" t="s">
        <v>18</v>
      </c>
      <c r="H36" s="5">
        <v>134</v>
      </c>
      <c r="I36" s="6">
        <f>134/576</f>
        <v>0.2326388888888889</v>
      </c>
      <c r="J36" s="7" t="s">
        <v>66</v>
      </c>
      <c r="K36" s="5">
        <v>-23</v>
      </c>
      <c r="L36" s="8">
        <f t="shared" si="0"/>
        <v>-1.2673611111111094E-2</v>
      </c>
      <c r="M36" s="5">
        <v>80</v>
      </c>
      <c r="N36" s="5">
        <v>576</v>
      </c>
    </row>
    <row r="37" spans="1:14" ht="19.95" customHeight="1" x14ac:dyDescent="0.3">
      <c r="A37" s="9">
        <v>36</v>
      </c>
      <c r="B37" s="10" t="s">
        <v>52</v>
      </c>
      <c r="C37" s="10" t="s">
        <v>53</v>
      </c>
      <c r="D37" s="18" t="s">
        <v>65</v>
      </c>
      <c r="E37" s="12">
        <v>147</v>
      </c>
      <c r="F37" s="13">
        <f>147/420</f>
        <v>0.35</v>
      </c>
      <c r="G37" s="14" t="s">
        <v>17</v>
      </c>
      <c r="H37" s="12">
        <v>84</v>
      </c>
      <c r="I37" s="13">
        <f>84/398</f>
        <v>0.21105527638190955</v>
      </c>
      <c r="J37" s="14" t="s">
        <v>66</v>
      </c>
      <c r="K37" s="12">
        <v>-63</v>
      </c>
      <c r="L37" s="15">
        <f t="shared" si="0"/>
        <v>-0.13894472361809043</v>
      </c>
      <c r="M37" s="12">
        <v>96</v>
      </c>
      <c r="N37" s="12">
        <v>398</v>
      </c>
    </row>
    <row r="38" spans="1:14" ht="19.95" customHeight="1" x14ac:dyDescent="0.3">
      <c r="A38" s="2">
        <v>37</v>
      </c>
      <c r="B38" s="3" t="s">
        <v>52</v>
      </c>
      <c r="C38" s="3" t="s">
        <v>53</v>
      </c>
      <c r="D38" s="17" t="s">
        <v>36</v>
      </c>
      <c r="E38" s="5">
        <v>162</v>
      </c>
      <c r="F38" s="6">
        <f>162/599</f>
        <v>0.27045075125208679</v>
      </c>
      <c r="G38" s="7" t="s">
        <v>18</v>
      </c>
      <c r="H38" s="5">
        <v>99</v>
      </c>
      <c r="I38" s="6">
        <f>99/547</f>
        <v>0.18098720292504569</v>
      </c>
      <c r="J38" s="7" t="s">
        <v>66</v>
      </c>
      <c r="K38" s="5">
        <v>-63</v>
      </c>
      <c r="L38" s="8">
        <f t="shared" si="0"/>
        <v>-8.9463548327041093E-2</v>
      </c>
      <c r="M38" s="5">
        <v>233</v>
      </c>
      <c r="N38" s="5">
        <v>547</v>
      </c>
    </row>
    <row r="39" spans="1:14" ht="19.95" customHeight="1" x14ac:dyDescent="0.3">
      <c r="A39" s="9">
        <v>38</v>
      </c>
      <c r="B39" s="10" t="s">
        <v>52</v>
      </c>
      <c r="C39" s="10" t="s">
        <v>53</v>
      </c>
      <c r="D39" s="18" t="s">
        <v>347</v>
      </c>
      <c r="E39" s="12">
        <v>244</v>
      </c>
      <c r="F39" s="13">
        <f>244/654</f>
        <v>0.37308868501529052</v>
      </c>
      <c r="G39" s="14" t="s">
        <v>17</v>
      </c>
      <c r="H39" s="12">
        <v>167</v>
      </c>
      <c r="I39" s="13">
        <f>167/569</f>
        <v>0.29349736379613356</v>
      </c>
      <c r="J39" s="14" t="s">
        <v>18</v>
      </c>
      <c r="K39" s="12">
        <v>-77</v>
      </c>
      <c r="L39" s="15">
        <f t="shared" si="0"/>
        <v>-7.9591321219156963E-2</v>
      </c>
      <c r="M39" s="12">
        <v>88</v>
      </c>
      <c r="N39" s="12">
        <v>569</v>
      </c>
    </row>
    <row r="40" spans="1:14" ht="19.95" customHeight="1" x14ac:dyDescent="0.3">
      <c r="A40" s="2">
        <v>39</v>
      </c>
      <c r="B40" s="3" t="s">
        <v>52</v>
      </c>
      <c r="C40" s="3" t="s">
        <v>53</v>
      </c>
      <c r="D40" s="4" t="s">
        <v>16</v>
      </c>
      <c r="E40" s="5">
        <v>63</v>
      </c>
      <c r="F40" s="6">
        <f>63/203</f>
        <v>0.31034482758620691</v>
      </c>
      <c r="G40" s="7" t="s">
        <v>18</v>
      </c>
      <c r="H40" s="5">
        <v>115</v>
      </c>
      <c r="I40" s="6">
        <f>115/205</f>
        <v>0.56097560975609762</v>
      </c>
      <c r="J40" s="7" t="s">
        <v>17</v>
      </c>
      <c r="K40" s="5">
        <v>52</v>
      </c>
      <c r="L40" s="8">
        <f t="shared" si="0"/>
        <v>0.25063078216989071</v>
      </c>
      <c r="M40" s="5">
        <v>60</v>
      </c>
      <c r="N40" s="5">
        <v>205</v>
      </c>
    </row>
    <row r="41" spans="1:14" ht="19.95" customHeight="1" x14ac:dyDescent="0.3">
      <c r="A41" s="9">
        <v>40</v>
      </c>
      <c r="B41" s="10" t="s">
        <v>52</v>
      </c>
      <c r="C41" s="10" t="s">
        <v>53</v>
      </c>
      <c r="D41" s="4" t="s">
        <v>16</v>
      </c>
      <c r="E41" s="12">
        <v>120</v>
      </c>
      <c r="F41" s="13">
        <f>120/322</f>
        <v>0.37267080745341613</v>
      </c>
      <c r="G41" s="14" t="s">
        <v>18</v>
      </c>
      <c r="H41" s="12">
        <v>163</v>
      </c>
      <c r="I41" s="13">
        <f>163/277</f>
        <v>0.58844765342960292</v>
      </c>
      <c r="J41" s="14" t="s">
        <v>17</v>
      </c>
      <c r="K41" s="12">
        <v>43</v>
      </c>
      <c r="L41" s="15">
        <f t="shared" si="0"/>
        <v>0.21577684597618679</v>
      </c>
      <c r="M41" s="12">
        <v>103</v>
      </c>
      <c r="N41" s="12">
        <v>277</v>
      </c>
    </row>
    <row r="42" spans="1:14" ht="19.95" customHeight="1" x14ac:dyDescent="0.3">
      <c r="A42" s="2">
        <v>41</v>
      </c>
      <c r="B42" s="3" t="s">
        <v>52</v>
      </c>
      <c r="C42" s="3" t="s">
        <v>53</v>
      </c>
      <c r="D42" s="16" t="s">
        <v>26</v>
      </c>
      <c r="E42" s="5">
        <v>159</v>
      </c>
      <c r="F42" s="6">
        <f>159/539</f>
        <v>0.29499072356215211</v>
      </c>
      <c r="G42" s="7" t="s">
        <v>27</v>
      </c>
      <c r="H42" s="5">
        <v>133</v>
      </c>
      <c r="I42" s="6">
        <f>133/446</f>
        <v>0.2982062780269058</v>
      </c>
      <c r="J42" s="7" t="s">
        <v>18</v>
      </c>
      <c r="K42" s="5">
        <v>-26</v>
      </c>
      <c r="L42" s="8">
        <f t="shared" si="0"/>
        <v>3.2155544647536893E-3</v>
      </c>
      <c r="M42" s="5">
        <v>48</v>
      </c>
      <c r="N42" s="5">
        <v>446</v>
      </c>
    </row>
    <row r="43" spans="1:14" ht="19.95" customHeight="1" x14ac:dyDescent="0.3">
      <c r="A43" s="9">
        <v>42</v>
      </c>
      <c r="B43" s="10" t="s">
        <v>52</v>
      </c>
      <c r="C43" s="10" t="s">
        <v>53</v>
      </c>
      <c r="D43" s="4" t="s">
        <v>16</v>
      </c>
      <c r="E43" s="12">
        <v>240</v>
      </c>
      <c r="F43" s="13">
        <f>240/784</f>
        <v>0.30612244897959184</v>
      </c>
      <c r="G43" s="14" t="s">
        <v>27</v>
      </c>
      <c r="H43" s="12">
        <v>283</v>
      </c>
      <c r="I43" s="13">
        <f>283/716</f>
        <v>0.39525139664804471</v>
      </c>
      <c r="J43" s="14" t="s">
        <v>17</v>
      </c>
      <c r="K43" s="12">
        <v>43</v>
      </c>
      <c r="L43" s="15">
        <f t="shared" si="0"/>
        <v>8.9128947668452863E-2</v>
      </c>
      <c r="M43" s="12">
        <v>59</v>
      </c>
      <c r="N43" s="12">
        <v>716</v>
      </c>
    </row>
    <row r="44" spans="1:14" ht="19.95" customHeight="1" x14ac:dyDescent="0.3">
      <c r="A44" s="2">
        <v>43</v>
      </c>
      <c r="B44" s="3" t="s">
        <v>52</v>
      </c>
      <c r="C44" s="3" t="s">
        <v>53</v>
      </c>
      <c r="D44" s="16" t="s">
        <v>26</v>
      </c>
      <c r="E44" s="5">
        <v>180</v>
      </c>
      <c r="F44" s="6">
        <f>180/600</f>
        <v>0.3</v>
      </c>
      <c r="G44" s="7" t="s">
        <v>18</v>
      </c>
      <c r="H44" s="5">
        <v>149</v>
      </c>
      <c r="I44" s="6">
        <f>149/550</f>
        <v>0.27090909090909093</v>
      </c>
      <c r="J44" s="7" t="s">
        <v>66</v>
      </c>
      <c r="K44" s="5">
        <v>-31</v>
      </c>
      <c r="L44" s="8">
        <f t="shared" si="0"/>
        <v>-2.9090909090909056E-2</v>
      </c>
      <c r="M44" s="5">
        <v>80</v>
      </c>
      <c r="N44" s="5">
        <v>550</v>
      </c>
    </row>
    <row r="45" spans="1:14" ht="19.95" customHeight="1" x14ac:dyDescent="0.3">
      <c r="A45" s="9">
        <v>44</v>
      </c>
      <c r="B45" s="10" t="s">
        <v>52</v>
      </c>
      <c r="C45" s="10" t="s">
        <v>53</v>
      </c>
      <c r="D45" s="17" t="s">
        <v>36</v>
      </c>
      <c r="E45" s="12">
        <v>110</v>
      </c>
      <c r="F45" s="13">
        <f>110/436</f>
        <v>0.25229357798165136</v>
      </c>
      <c r="G45" s="14" t="s">
        <v>18</v>
      </c>
      <c r="H45" s="12">
        <v>80</v>
      </c>
      <c r="I45" s="13">
        <f>80/424</f>
        <v>0.18867924528301888</v>
      </c>
      <c r="J45" s="14" t="s">
        <v>66</v>
      </c>
      <c r="K45" s="12">
        <v>-30</v>
      </c>
      <c r="L45" s="15">
        <f t="shared" si="0"/>
        <v>-6.3614332698632481E-2</v>
      </c>
      <c r="M45" s="12">
        <v>165</v>
      </c>
      <c r="N45" s="12">
        <v>424</v>
      </c>
    </row>
    <row r="46" spans="1:14" ht="19.95" customHeight="1" x14ac:dyDescent="0.3">
      <c r="A46" s="2">
        <v>45</v>
      </c>
      <c r="B46" s="3" t="s">
        <v>52</v>
      </c>
      <c r="C46" s="3" t="s">
        <v>53</v>
      </c>
      <c r="D46" s="16" t="s">
        <v>26</v>
      </c>
      <c r="E46" s="5">
        <v>220</v>
      </c>
      <c r="F46" s="6">
        <f>220/745</f>
        <v>0.29530201342281881</v>
      </c>
      <c r="G46" s="7" t="s">
        <v>18</v>
      </c>
      <c r="H46" s="5">
        <v>175</v>
      </c>
      <c r="I46" s="6">
        <f>175/770</f>
        <v>0.22727272727272727</v>
      </c>
      <c r="J46" s="7" t="s">
        <v>66</v>
      </c>
      <c r="K46" s="5">
        <v>-45</v>
      </c>
      <c r="L46" s="8">
        <f t="shared" si="0"/>
        <v>-6.8029286150091545E-2</v>
      </c>
      <c r="M46" s="5">
        <v>159</v>
      </c>
      <c r="N46" s="5">
        <v>770</v>
      </c>
    </row>
    <row r="47" spans="1:14" ht="19.95" customHeight="1" x14ac:dyDescent="0.3">
      <c r="A47" s="9">
        <v>46</v>
      </c>
      <c r="B47" s="10" t="s">
        <v>52</v>
      </c>
      <c r="C47" s="10" t="s">
        <v>53</v>
      </c>
      <c r="D47" s="16" t="s">
        <v>26</v>
      </c>
      <c r="E47" s="12">
        <v>73</v>
      </c>
      <c r="F47" s="13">
        <f>73/535</f>
        <v>0.13644859813084112</v>
      </c>
      <c r="G47" s="14" t="s">
        <v>27</v>
      </c>
      <c r="H47" s="12">
        <v>117</v>
      </c>
      <c r="I47" s="13">
        <f>117/472</f>
        <v>0.2478813559322034</v>
      </c>
      <c r="J47" s="14" t="s">
        <v>18</v>
      </c>
      <c r="K47" s="12">
        <v>44</v>
      </c>
      <c r="L47" s="15">
        <f t="shared" si="0"/>
        <v>0.11143275780136228</v>
      </c>
      <c r="M47" s="12">
        <v>77</v>
      </c>
      <c r="N47" s="12">
        <v>472</v>
      </c>
    </row>
    <row r="48" spans="1:14" ht="19.95" customHeight="1" x14ac:dyDescent="0.3">
      <c r="A48" s="2">
        <v>47</v>
      </c>
      <c r="B48" s="3" t="s">
        <v>52</v>
      </c>
      <c r="C48" s="3" t="s">
        <v>53</v>
      </c>
      <c r="D48" s="4" t="s">
        <v>16</v>
      </c>
      <c r="E48" s="5">
        <v>240</v>
      </c>
      <c r="F48" s="6">
        <f>240/743</f>
        <v>0.32301480484522205</v>
      </c>
      <c r="G48" s="7" t="s">
        <v>18</v>
      </c>
      <c r="H48" s="5">
        <v>238</v>
      </c>
      <c r="I48" s="6">
        <f>238/754</f>
        <v>0.3156498673740053</v>
      </c>
      <c r="J48" s="7" t="s">
        <v>17</v>
      </c>
      <c r="K48" s="5">
        <v>-2</v>
      </c>
      <c r="L48" s="8">
        <f t="shared" si="0"/>
        <v>-7.3649374712167481E-3</v>
      </c>
      <c r="M48" s="5">
        <v>36</v>
      </c>
      <c r="N48" s="5">
        <v>754</v>
      </c>
    </row>
    <row r="49" spans="1:14" ht="19.95" customHeight="1" x14ac:dyDescent="0.3">
      <c r="A49" s="9">
        <v>48</v>
      </c>
      <c r="B49" s="10" t="s">
        <v>67</v>
      </c>
      <c r="C49" s="10" t="s">
        <v>68</v>
      </c>
      <c r="D49" s="18" t="s">
        <v>347</v>
      </c>
      <c r="E49" s="12">
        <v>414</v>
      </c>
      <c r="F49" s="13">
        <f>414/807</f>
        <v>0.51301115241635686</v>
      </c>
      <c r="G49" s="14" t="s">
        <v>17</v>
      </c>
      <c r="H49" s="12">
        <v>249</v>
      </c>
      <c r="I49" s="13">
        <f>249/690</f>
        <v>0.36086956521739133</v>
      </c>
      <c r="J49" s="14" t="s">
        <v>18</v>
      </c>
      <c r="K49" s="12">
        <v>-165</v>
      </c>
      <c r="L49" s="15">
        <f t="shared" si="0"/>
        <v>-0.15214158719896553</v>
      </c>
      <c r="M49" s="12">
        <v>56</v>
      </c>
      <c r="N49" s="12">
        <v>690</v>
      </c>
    </row>
    <row r="50" spans="1:14" ht="19.95" customHeight="1" x14ac:dyDescent="0.3">
      <c r="A50" s="2">
        <v>49</v>
      </c>
      <c r="B50" s="3" t="s">
        <v>67</v>
      </c>
      <c r="C50" s="3" t="s">
        <v>68</v>
      </c>
      <c r="D50" s="11" t="s">
        <v>21</v>
      </c>
      <c r="E50" s="5">
        <v>367</v>
      </c>
      <c r="F50" s="6">
        <f>367/761</f>
        <v>0.48226018396846254</v>
      </c>
      <c r="G50" s="7" t="s">
        <v>17</v>
      </c>
      <c r="H50" s="5">
        <v>236</v>
      </c>
      <c r="I50" s="6">
        <f>236/645</f>
        <v>0.36589147286821705</v>
      </c>
      <c r="J50" s="7" t="s">
        <v>17</v>
      </c>
      <c r="K50" s="5">
        <v>-131</v>
      </c>
      <c r="L50" s="8">
        <f t="shared" si="0"/>
        <v>-0.11636871110024549</v>
      </c>
      <c r="M50" s="5">
        <v>7</v>
      </c>
      <c r="N50" s="5">
        <v>645</v>
      </c>
    </row>
    <row r="51" spans="1:14" ht="19.95" customHeight="1" x14ac:dyDescent="0.3">
      <c r="A51" s="9">
        <v>50</v>
      </c>
      <c r="B51" s="10" t="s">
        <v>69</v>
      </c>
      <c r="C51" s="10" t="s">
        <v>70</v>
      </c>
      <c r="D51" s="18" t="s">
        <v>347</v>
      </c>
      <c r="E51" s="12">
        <v>337</v>
      </c>
      <c r="F51" s="13">
        <f>337/656</f>
        <v>0.51371951219512191</v>
      </c>
      <c r="G51" s="14" t="s">
        <v>17</v>
      </c>
      <c r="H51" s="12">
        <v>158</v>
      </c>
      <c r="I51" s="13">
        <f>158/608</f>
        <v>0.25986842105263158</v>
      </c>
      <c r="J51" s="14" t="s">
        <v>18</v>
      </c>
      <c r="K51" s="12">
        <v>-179</v>
      </c>
      <c r="L51" s="15">
        <f t="shared" si="0"/>
        <v>-0.25385109114249033</v>
      </c>
      <c r="M51" s="12">
        <v>139</v>
      </c>
      <c r="N51" s="12">
        <v>608</v>
      </c>
    </row>
    <row r="52" spans="1:14" ht="19.95" customHeight="1" x14ac:dyDescent="0.3">
      <c r="A52" s="2">
        <v>51</v>
      </c>
      <c r="B52" s="3" t="s">
        <v>69</v>
      </c>
      <c r="C52" s="3" t="s">
        <v>70</v>
      </c>
      <c r="D52" s="18" t="s">
        <v>347</v>
      </c>
      <c r="E52" s="5">
        <v>324</v>
      </c>
      <c r="F52" s="6">
        <f>324/586</f>
        <v>0.55290102389078499</v>
      </c>
      <c r="G52" s="7" t="s">
        <v>17</v>
      </c>
      <c r="H52" s="5">
        <v>158</v>
      </c>
      <c r="I52" s="6">
        <f>158/560</f>
        <v>0.28214285714285714</v>
      </c>
      <c r="J52" s="7" t="s">
        <v>18</v>
      </c>
      <c r="K52" s="5">
        <v>-166</v>
      </c>
      <c r="L52" s="8">
        <f t="shared" si="0"/>
        <v>-0.27075816674792785</v>
      </c>
      <c r="M52" s="5">
        <v>112</v>
      </c>
      <c r="N52" s="5">
        <v>560</v>
      </c>
    </row>
    <row r="53" spans="1:14" ht="19.95" customHeight="1" x14ac:dyDescent="0.3">
      <c r="A53" s="9">
        <v>52</v>
      </c>
      <c r="B53" s="10" t="s">
        <v>71</v>
      </c>
      <c r="C53" s="10" t="s">
        <v>72</v>
      </c>
      <c r="D53" s="16" t="s">
        <v>26</v>
      </c>
      <c r="E53" s="12">
        <v>150</v>
      </c>
      <c r="F53" s="13">
        <f>150/774</f>
        <v>0.19379844961240311</v>
      </c>
      <c r="G53" s="14" t="s">
        <v>18</v>
      </c>
      <c r="H53" s="12">
        <v>167</v>
      </c>
      <c r="I53" s="13">
        <f>167/745</f>
        <v>0.22416107382550335</v>
      </c>
      <c r="J53" s="14" t="s">
        <v>27</v>
      </c>
      <c r="K53" s="12">
        <v>17</v>
      </c>
      <c r="L53" s="15">
        <f t="shared" si="0"/>
        <v>3.0362624213100237E-2</v>
      </c>
      <c r="M53" s="12">
        <v>29</v>
      </c>
      <c r="N53" s="12">
        <v>745</v>
      </c>
    </row>
    <row r="54" spans="1:14" ht="19.95" customHeight="1" x14ac:dyDescent="0.3">
      <c r="A54" s="2">
        <v>53</v>
      </c>
      <c r="B54" s="3" t="s">
        <v>74</v>
      </c>
      <c r="C54" s="3" t="s">
        <v>75</v>
      </c>
      <c r="D54" s="18" t="s">
        <v>347</v>
      </c>
      <c r="E54" s="5">
        <v>350</v>
      </c>
      <c r="F54" s="6">
        <f>350/801</f>
        <v>0.43695380774032461</v>
      </c>
      <c r="G54" s="7" t="s">
        <v>17</v>
      </c>
      <c r="H54" s="5">
        <v>308</v>
      </c>
      <c r="I54" s="6">
        <f>308/732</f>
        <v>0.42076502732240439</v>
      </c>
      <c r="J54" s="7" t="s">
        <v>18</v>
      </c>
      <c r="K54" s="5">
        <v>-42</v>
      </c>
      <c r="L54" s="8">
        <f t="shared" si="0"/>
        <v>-1.6188780417920212E-2</v>
      </c>
      <c r="M54" s="5">
        <v>17</v>
      </c>
      <c r="N54" s="5">
        <v>732</v>
      </c>
    </row>
    <row r="55" spans="1:14" ht="19.95" customHeight="1" x14ac:dyDescent="0.3">
      <c r="A55" s="9">
        <v>54</v>
      </c>
      <c r="B55" s="10" t="s">
        <v>74</v>
      </c>
      <c r="C55" s="10" t="s">
        <v>75</v>
      </c>
      <c r="D55" s="18" t="s">
        <v>347</v>
      </c>
      <c r="E55" s="12">
        <v>327</v>
      </c>
      <c r="F55" s="13">
        <f>327/857</f>
        <v>0.38156359393232203</v>
      </c>
      <c r="G55" s="14" t="s">
        <v>17</v>
      </c>
      <c r="H55" s="12">
        <v>233</v>
      </c>
      <c r="I55" s="13">
        <f>233/713</f>
        <v>0.32678821879382891</v>
      </c>
      <c r="J55" s="14" t="s">
        <v>18</v>
      </c>
      <c r="K55" s="12">
        <v>-94</v>
      </c>
      <c r="L55" s="15">
        <f t="shared" si="0"/>
        <v>-5.4775375138493121E-2</v>
      </c>
      <c r="M55" s="12">
        <v>66</v>
      </c>
      <c r="N55" s="12">
        <v>713</v>
      </c>
    </row>
    <row r="56" spans="1:14" ht="19.95" customHeight="1" x14ac:dyDescent="0.3">
      <c r="A56" s="2">
        <v>55</v>
      </c>
      <c r="B56" s="3" t="s">
        <v>76</v>
      </c>
      <c r="C56" s="3" t="s">
        <v>77</v>
      </c>
      <c r="D56" s="4" t="s">
        <v>16</v>
      </c>
      <c r="E56" s="5">
        <v>219</v>
      </c>
      <c r="F56" s="6">
        <f>219/729</f>
        <v>0.30041152263374488</v>
      </c>
      <c r="G56" s="7" t="s">
        <v>18</v>
      </c>
      <c r="H56" s="5">
        <v>242</v>
      </c>
      <c r="I56" s="6">
        <f>242/663</f>
        <v>0.36500754147812969</v>
      </c>
      <c r="J56" s="7" t="s">
        <v>17</v>
      </c>
      <c r="K56" s="5">
        <v>23</v>
      </c>
      <c r="L56" s="8">
        <f t="shared" si="0"/>
        <v>6.4596018844384817E-2</v>
      </c>
      <c r="M56" s="5">
        <v>42</v>
      </c>
      <c r="N56" s="5">
        <v>663</v>
      </c>
    </row>
    <row r="57" spans="1:14" ht="19.95" customHeight="1" x14ac:dyDescent="0.3">
      <c r="A57" s="9">
        <v>56</v>
      </c>
      <c r="B57" s="10" t="s">
        <v>76</v>
      </c>
      <c r="C57" s="10" t="s">
        <v>77</v>
      </c>
      <c r="D57" s="4" t="s">
        <v>16</v>
      </c>
      <c r="E57" s="12">
        <v>211</v>
      </c>
      <c r="F57" s="13">
        <f>211/538</f>
        <v>0.39219330855018586</v>
      </c>
      <c r="G57" s="14" t="s">
        <v>27</v>
      </c>
      <c r="H57" s="12">
        <v>249</v>
      </c>
      <c r="I57" s="13">
        <f>249/501</f>
        <v>0.49700598802395207</v>
      </c>
      <c r="J57" s="14" t="s">
        <v>17</v>
      </c>
      <c r="K57" s="12">
        <v>38</v>
      </c>
      <c r="L57" s="15">
        <f t="shared" si="0"/>
        <v>0.10481267947376621</v>
      </c>
      <c r="M57" s="12">
        <v>95</v>
      </c>
      <c r="N57" s="12">
        <v>501</v>
      </c>
    </row>
    <row r="58" spans="1:14" ht="19.95" customHeight="1" x14ac:dyDescent="0.3">
      <c r="A58" s="2">
        <v>57</v>
      </c>
      <c r="B58" s="3" t="s">
        <v>76</v>
      </c>
      <c r="C58" s="3" t="s">
        <v>77</v>
      </c>
      <c r="D58" s="11" t="s">
        <v>21</v>
      </c>
      <c r="E58" s="5">
        <v>171</v>
      </c>
      <c r="F58" s="6">
        <f>171/449</f>
        <v>0.38084632516703787</v>
      </c>
      <c r="G58" s="7" t="s">
        <v>17</v>
      </c>
      <c r="H58" s="5">
        <v>219</v>
      </c>
      <c r="I58" s="6">
        <f>219/415</f>
        <v>0.52771084337349394</v>
      </c>
      <c r="J58" s="7" t="s">
        <v>17</v>
      </c>
      <c r="K58" s="5">
        <v>48</v>
      </c>
      <c r="L58" s="8">
        <f t="shared" si="0"/>
        <v>0.14686451820645607</v>
      </c>
      <c r="M58" s="5">
        <v>110</v>
      </c>
      <c r="N58" s="5">
        <v>415</v>
      </c>
    </row>
    <row r="59" spans="1:14" ht="19.95" customHeight="1" x14ac:dyDescent="0.3">
      <c r="A59" s="9">
        <v>58</v>
      </c>
      <c r="B59" s="10" t="s">
        <v>78</v>
      </c>
      <c r="C59" s="10" t="s">
        <v>79</v>
      </c>
      <c r="D59" s="18" t="s">
        <v>347</v>
      </c>
      <c r="E59" s="12">
        <v>301</v>
      </c>
      <c r="F59" s="13">
        <f>301/694</f>
        <v>0.43371757925072046</v>
      </c>
      <c r="G59" s="14" t="s">
        <v>17</v>
      </c>
      <c r="H59" s="12">
        <v>193</v>
      </c>
      <c r="I59" s="13">
        <f>193/638</f>
        <v>0.30250783699059564</v>
      </c>
      <c r="J59" s="14" t="s">
        <v>18</v>
      </c>
      <c r="K59" s="12">
        <v>-108</v>
      </c>
      <c r="L59" s="15">
        <f t="shared" si="0"/>
        <v>-0.13120974226012483</v>
      </c>
      <c r="M59" s="12">
        <v>4</v>
      </c>
      <c r="N59" s="12">
        <v>638</v>
      </c>
    </row>
    <row r="60" spans="1:14" ht="19.95" customHeight="1" x14ac:dyDescent="0.3">
      <c r="A60" s="2">
        <v>59</v>
      </c>
      <c r="B60" s="3" t="s">
        <v>80</v>
      </c>
      <c r="C60" s="3" t="s">
        <v>81</v>
      </c>
      <c r="D60" s="16" t="s">
        <v>26</v>
      </c>
      <c r="E60" s="5">
        <v>226</v>
      </c>
      <c r="F60" s="6">
        <f>226/751</f>
        <v>0.30093209054593872</v>
      </c>
      <c r="G60" s="7" t="s">
        <v>27</v>
      </c>
      <c r="H60" s="5">
        <v>266</v>
      </c>
      <c r="I60" s="6">
        <f>266/682</f>
        <v>0.39002932551319647</v>
      </c>
      <c r="J60" s="7" t="s">
        <v>18</v>
      </c>
      <c r="K60" s="5">
        <v>40</v>
      </c>
      <c r="L60" s="8">
        <f t="shared" si="0"/>
        <v>8.9097234967257743E-2</v>
      </c>
      <c r="M60" s="5">
        <v>24</v>
      </c>
      <c r="N60" s="5">
        <v>682</v>
      </c>
    </row>
    <row r="61" spans="1:14" ht="19.95" customHeight="1" x14ac:dyDescent="0.3">
      <c r="A61" s="9">
        <v>60</v>
      </c>
      <c r="B61" s="10" t="s">
        <v>80</v>
      </c>
      <c r="C61" s="10" t="s">
        <v>81</v>
      </c>
      <c r="D61" s="16" t="s">
        <v>26</v>
      </c>
      <c r="E61" s="12">
        <v>147</v>
      </c>
      <c r="F61" s="13">
        <f>147/703</f>
        <v>0.20910384068278806</v>
      </c>
      <c r="G61" s="14" t="s">
        <v>27</v>
      </c>
      <c r="H61" s="12">
        <v>215</v>
      </c>
      <c r="I61" s="13">
        <f>215/602</f>
        <v>0.35714285714285715</v>
      </c>
      <c r="J61" s="14" t="s">
        <v>18</v>
      </c>
      <c r="K61" s="12">
        <v>68</v>
      </c>
      <c r="L61" s="15">
        <f t="shared" si="0"/>
        <v>0.14803901646006909</v>
      </c>
      <c r="M61" s="12">
        <v>72</v>
      </c>
      <c r="N61" s="12">
        <v>602</v>
      </c>
    </row>
    <row r="62" spans="1:14" ht="19.95" customHeight="1" x14ac:dyDescent="0.3">
      <c r="A62" s="2">
        <v>61</v>
      </c>
      <c r="B62" s="3" t="s">
        <v>82</v>
      </c>
      <c r="C62" s="3" t="s">
        <v>83</v>
      </c>
      <c r="D62" s="16" t="s">
        <v>26</v>
      </c>
      <c r="E62" s="5">
        <v>225</v>
      </c>
      <c r="F62" s="6">
        <f>225/692</f>
        <v>0.32514450867052025</v>
      </c>
      <c r="G62" s="7" t="s">
        <v>27</v>
      </c>
      <c r="H62" s="5">
        <v>191</v>
      </c>
      <c r="I62" s="6">
        <f>191/663</f>
        <v>0.28808446455505277</v>
      </c>
      <c r="J62" s="7" t="s">
        <v>18</v>
      </c>
      <c r="K62" s="5">
        <v>-34</v>
      </c>
      <c r="L62" s="8">
        <f t="shared" si="0"/>
        <v>-3.7060044115467483E-2</v>
      </c>
      <c r="M62" s="5">
        <v>174</v>
      </c>
      <c r="N62" s="5">
        <v>663</v>
      </c>
    </row>
    <row r="63" spans="1:14" ht="19.95" customHeight="1" x14ac:dyDescent="0.3">
      <c r="A63" s="9">
        <v>62</v>
      </c>
      <c r="B63" s="10" t="s">
        <v>84</v>
      </c>
      <c r="C63" s="10" t="s">
        <v>85</v>
      </c>
      <c r="D63" s="16" t="s">
        <v>26</v>
      </c>
      <c r="E63" s="12">
        <v>170</v>
      </c>
      <c r="F63" s="13">
        <f>170/561</f>
        <v>0.30303030303030304</v>
      </c>
      <c r="G63" s="14" t="s">
        <v>27</v>
      </c>
      <c r="H63" s="12">
        <v>171</v>
      </c>
      <c r="I63" s="13">
        <f>171/483</f>
        <v>0.35403726708074534</v>
      </c>
      <c r="J63" s="14" t="s">
        <v>18</v>
      </c>
      <c r="K63" s="12">
        <v>1</v>
      </c>
      <c r="L63" s="15">
        <f t="shared" si="0"/>
        <v>5.1006964050442305E-2</v>
      </c>
      <c r="M63" s="12">
        <v>24</v>
      </c>
      <c r="N63" s="12">
        <v>483</v>
      </c>
    </row>
    <row r="64" spans="1:14" ht="19.95" customHeight="1" x14ac:dyDescent="0.3">
      <c r="A64" s="2">
        <v>63</v>
      </c>
      <c r="B64" s="3" t="s">
        <v>84</v>
      </c>
      <c r="C64" s="3" t="s">
        <v>85</v>
      </c>
      <c r="D64" s="11" t="s">
        <v>21</v>
      </c>
      <c r="E64" s="5">
        <v>279</v>
      </c>
      <c r="F64" s="6">
        <f>279/642</f>
        <v>0.43457943925233644</v>
      </c>
      <c r="G64" s="7" t="s">
        <v>17</v>
      </c>
      <c r="H64" s="5">
        <v>263</v>
      </c>
      <c r="I64" s="6">
        <f>263/604</f>
        <v>0.43543046357615894</v>
      </c>
      <c r="J64" s="7" t="s">
        <v>17</v>
      </c>
      <c r="K64" s="5">
        <v>-16</v>
      </c>
      <c r="L64" s="8">
        <f t="shared" si="0"/>
        <v>8.5102432382250237E-4</v>
      </c>
      <c r="M64" s="5">
        <v>28</v>
      </c>
      <c r="N64" s="5">
        <v>604</v>
      </c>
    </row>
    <row r="65" spans="1:14" ht="19.95" customHeight="1" x14ac:dyDescent="0.3">
      <c r="A65" s="9">
        <v>64</v>
      </c>
      <c r="B65" s="10" t="s">
        <v>84</v>
      </c>
      <c r="C65" s="10" t="s">
        <v>85</v>
      </c>
      <c r="D65" s="18" t="s">
        <v>347</v>
      </c>
      <c r="E65" s="12">
        <v>262</v>
      </c>
      <c r="F65" s="13">
        <f>262/717</f>
        <v>0.36541143654114366</v>
      </c>
      <c r="G65" s="14" t="s">
        <v>17</v>
      </c>
      <c r="H65" s="12">
        <v>220</v>
      </c>
      <c r="I65" s="13">
        <f>220/621</f>
        <v>0.35426731078904994</v>
      </c>
      <c r="J65" s="14" t="s">
        <v>18</v>
      </c>
      <c r="K65" s="12">
        <v>-42</v>
      </c>
      <c r="L65" s="15">
        <f t="shared" si="0"/>
        <v>-1.1144125752093725E-2</v>
      </c>
      <c r="M65" s="12">
        <v>27</v>
      </c>
      <c r="N65" s="12">
        <v>621</v>
      </c>
    </row>
    <row r="66" spans="1:14" ht="19.95" customHeight="1" x14ac:dyDescent="0.3">
      <c r="A66" s="2">
        <v>65</v>
      </c>
      <c r="B66" s="3" t="s">
        <v>86</v>
      </c>
      <c r="C66" s="3" t="s">
        <v>87</v>
      </c>
      <c r="D66" s="16" t="s">
        <v>26</v>
      </c>
      <c r="E66" s="5">
        <v>139</v>
      </c>
      <c r="F66" s="6">
        <f>139/442</f>
        <v>0.31447963800904977</v>
      </c>
      <c r="G66" s="7" t="s">
        <v>27</v>
      </c>
      <c r="H66" s="5">
        <v>111</v>
      </c>
      <c r="I66" s="6">
        <f>111/406</f>
        <v>0.27339901477832512</v>
      </c>
      <c r="J66" s="7" t="s">
        <v>18</v>
      </c>
      <c r="K66" s="5">
        <v>-28</v>
      </c>
      <c r="L66" s="8">
        <f t="shared" ref="L66:L129" si="1">I66-F66</f>
        <v>-4.1080623230724644E-2</v>
      </c>
      <c r="M66" s="5">
        <v>79</v>
      </c>
      <c r="N66" s="5">
        <v>406</v>
      </c>
    </row>
    <row r="67" spans="1:14" ht="19.95" customHeight="1" x14ac:dyDescent="0.3">
      <c r="A67" s="9">
        <v>66</v>
      </c>
      <c r="B67" s="10" t="s">
        <v>88</v>
      </c>
      <c r="C67" s="10" t="s">
        <v>89</v>
      </c>
      <c r="D67" s="16" t="s">
        <v>26</v>
      </c>
      <c r="E67" s="12">
        <v>156</v>
      </c>
      <c r="F67" s="13">
        <f>156/730</f>
        <v>0.21369863013698631</v>
      </c>
      <c r="G67" s="14" t="s">
        <v>27</v>
      </c>
      <c r="H67" s="12">
        <v>164</v>
      </c>
      <c r="I67" s="13">
        <f>164/620</f>
        <v>0.26451612903225807</v>
      </c>
      <c r="J67" s="14" t="s">
        <v>18</v>
      </c>
      <c r="K67" s="12">
        <v>8</v>
      </c>
      <c r="L67" s="15">
        <f t="shared" si="1"/>
        <v>5.0817498895271762E-2</v>
      </c>
      <c r="M67" s="12">
        <v>97</v>
      </c>
      <c r="N67" s="12">
        <v>620</v>
      </c>
    </row>
    <row r="68" spans="1:14" ht="19.95" customHeight="1" x14ac:dyDescent="0.3">
      <c r="A68" s="2">
        <v>67</v>
      </c>
      <c r="B68" s="3" t="s">
        <v>88</v>
      </c>
      <c r="C68" s="3" t="s">
        <v>89</v>
      </c>
      <c r="D68" s="18" t="s">
        <v>347</v>
      </c>
      <c r="E68" s="5">
        <v>314</v>
      </c>
      <c r="F68" s="6">
        <f>314/679</f>
        <v>0.46244477172312226</v>
      </c>
      <c r="G68" s="7" t="s">
        <v>17</v>
      </c>
      <c r="H68" s="5">
        <v>196</v>
      </c>
      <c r="I68" s="6">
        <f>196/573</f>
        <v>0.34205933682373474</v>
      </c>
      <c r="J68" s="7" t="s">
        <v>18</v>
      </c>
      <c r="K68" s="5">
        <v>-118</v>
      </c>
      <c r="L68" s="8">
        <f t="shared" si="1"/>
        <v>-0.12038543489938752</v>
      </c>
      <c r="M68" s="5">
        <v>16</v>
      </c>
      <c r="N68" s="5">
        <v>573</v>
      </c>
    </row>
    <row r="69" spans="1:14" ht="19.95" customHeight="1" x14ac:dyDescent="0.3">
      <c r="A69" s="9">
        <v>68</v>
      </c>
      <c r="B69" s="10" t="s">
        <v>88</v>
      </c>
      <c r="C69" s="10" t="s">
        <v>89</v>
      </c>
      <c r="D69" s="4" t="s">
        <v>16</v>
      </c>
      <c r="E69" s="12">
        <v>231</v>
      </c>
      <c r="F69" s="13">
        <f>231/790</f>
        <v>0.29240506329113924</v>
      </c>
      <c r="G69" s="14" t="s">
        <v>27</v>
      </c>
      <c r="H69" s="12">
        <v>216</v>
      </c>
      <c r="I69" s="13">
        <f>216/570</f>
        <v>0.37894736842105264</v>
      </c>
      <c r="J69" s="14" t="s">
        <v>17</v>
      </c>
      <c r="K69" s="12">
        <v>-15</v>
      </c>
      <c r="L69" s="15">
        <f t="shared" si="1"/>
        <v>8.6542305129913399E-2</v>
      </c>
      <c r="M69" s="12">
        <v>60</v>
      </c>
      <c r="N69" s="12">
        <v>570</v>
      </c>
    </row>
    <row r="70" spans="1:14" ht="19.95" customHeight="1" x14ac:dyDescent="0.3">
      <c r="A70" s="2">
        <v>69</v>
      </c>
      <c r="B70" s="3" t="s">
        <v>90</v>
      </c>
      <c r="C70" s="3" t="s">
        <v>91</v>
      </c>
      <c r="D70" s="11" t="s">
        <v>21</v>
      </c>
      <c r="E70" s="5">
        <v>206</v>
      </c>
      <c r="F70" s="6">
        <f>206/514</f>
        <v>0.40077821011673154</v>
      </c>
      <c r="G70" s="7" t="s">
        <v>17</v>
      </c>
      <c r="H70" s="5">
        <v>177</v>
      </c>
      <c r="I70" s="6">
        <f>177/483</f>
        <v>0.36645962732919257</v>
      </c>
      <c r="J70" s="7" t="s">
        <v>17</v>
      </c>
      <c r="K70" s="5">
        <v>-29</v>
      </c>
      <c r="L70" s="8">
        <f t="shared" si="1"/>
        <v>-3.4318582787538965E-2</v>
      </c>
      <c r="M70" s="5">
        <v>37</v>
      </c>
      <c r="N70" s="5">
        <v>483</v>
      </c>
    </row>
    <row r="71" spans="1:14" ht="19.95" customHeight="1" x14ac:dyDescent="0.3">
      <c r="A71" s="9">
        <v>70</v>
      </c>
      <c r="B71" s="10" t="s">
        <v>92</v>
      </c>
      <c r="C71" s="10" t="s">
        <v>93</v>
      </c>
      <c r="D71" s="11" t="s">
        <v>21</v>
      </c>
      <c r="E71" s="12">
        <v>238</v>
      </c>
      <c r="F71" s="13">
        <f>238/496</f>
        <v>0.47983870967741937</v>
      </c>
      <c r="G71" s="14" t="s">
        <v>17</v>
      </c>
      <c r="H71" s="12">
        <v>165</v>
      </c>
      <c r="I71" s="13">
        <f>165/438</f>
        <v>0.37671232876712329</v>
      </c>
      <c r="J71" s="14" t="s">
        <v>17</v>
      </c>
      <c r="K71" s="12">
        <v>-73</v>
      </c>
      <c r="L71" s="15">
        <f t="shared" si="1"/>
        <v>-0.10312638091029608</v>
      </c>
      <c r="M71" s="12">
        <v>9</v>
      </c>
      <c r="N71" s="12">
        <v>438</v>
      </c>
    </row>
    <row r="72" spans="1:14" ht="19.95" customHeight="1" x14ac:dyDescent="0.3">
      <c r="A72" s="2">
        <v>71</v>
      </c>
      <c r="B72" s="3" t="s">
        <v>94</v>
      </c>
      <c r="C72" s="3" t="s">
        <v>95</v>
      </c>
      <c r="D72" s="11" t="s">
        <v>21</v>
      </c>
      <c r="E72" s="5">
        <v>276</v>
      </c>
      <c r="F72" s="6">
        <f>276/704</f>
        <v>0.39204545454545453</v>
      </c>
      <c r="G72" s="7" t="s">
        <v>17</v>
      </c>
      <c r="H72" s="5">
        <v>260</v>
      </c>
      <c r="I72" s="6">
        <f>260/625</f>
        <v>0.41599999999999998</v>
      </c>
      <c r="J72" s="7" t="s">
        <v>17</v>
      </c>
      <c r="K72" s="5">
        <v>-16</v>
      </c>
      <c r="L72" s="8">
        <f t="shared" si="1"/>
        <v>2.3954545454545451E-2</v>
      </c>
      <c r="M72" s="5">
        <v>70</v>
      </c>
      <c r="N72" s="5">
        <v>625</v>
      </c>
    </row>
    <row r="73" spans="1:14" ht="19.95" customHeight="1" x14ac:dyDescent="0.3">
      <c r="A73" s="9">
        <v>72</v>
      </c>
      <c r="B73" s="10" t="s">
        <v>94</v>
      </c>
      <c r="C73" s="10" t="s">
        <v>95</v>
      </c>
      <c r="D73" s="18" t="s">
        <v>347</v>
      </c>
      <c r="E73" s="12">
        <v>137</v>
      </c>
      <c r="F73" s="13">
        <f>137/371</f>
        <v>0.3692722371967655</v>
      </c>
      <c r="G73" s="14" t="s">
        <v>17</v>
      </c>
      <c r="H73" s="12">
        <v>70</v>
      </c>
      <c r="I73" s="13">
        <f>70/330</f>
        <v>0.21212121212121213</v>
      </c>
      <c r="J73" s="14" t="s">
        <v>18</v>
      </c>
      <c r="K73" s="12">
        <v>-67</v>
      </c>
      <c r="L73" s="15">
        <f t="shared" si="1"/>
        <v>-0.15715102507555337</v>
      </c>
      <c r="M73" s="12">
        <v>19</v>
      </c>
      <c r="N73" s="12">
        <v>330</v>
      </c>
    </row>
    <row r="74" spans="1:14" ht="19.95" customHeight="1" x14ac:dyDescent="0.3">
      <c r="A74" s="2">
        <v>73</v>
      </c>
      <c r="B74" s="3" t="s">
        <v>96</v>
      </c>
      <c r="C74" s="3" t="s">
        <v>97</v>
      </c>
      <c r="D74" s="16" t="s">
        <v>26</v>
      </c>
      <c r="E74" s="5">
        <v>196</v>
      </c>
      <c r="F74" s="6">
        <f>196/942</f>
        <v>0.20806794055201699</v>
      </c>
      <c r="G74" s="7" t="s">
        <v>18</v>
      </c>
      <c r="H74" s="5">
        <v>227</v>
      </c>
      <c r="I74" s="6">
        <f>227/791</f>
        <v>0.28697850821744625</v>
      </c>
      <c r="J74" s="7" t="s">
        <v>18</v>
      </c>
      <c r="K74" s="5">
        <v>31</v>
      </c>
      <c r="L74" s="8">
        <f t="shared" si="1"/>
        <v>7.8910567665429254E-2</v>
      </c>
      <c r="M74" s="5">
        <v>133</v>
      </c>
      <c r="N74" s="5">
        <v>791</v>
      </c>
    </row>
    <row r="75" spans="1:14" ht="19.95" customHeight="1" x14ac:dyDescent="0.3">
      <c r="A75" s="9">
        <v>74</v>
      </c>
      <c r="B75" s="10" t="s">
        <v>96</v>
      </c>
      <c r="C75" s="10" t="s">
        <v>97</v>
      </c>
      <c r="D75" s="16" t="s">
        <v>26</v>
      </c>
      <c r="E75" s="12">
        <v>209</v>
      </c>
      <c r="F75" s="13">
        <f>209/871</f>
        <v>0.2399540757749713</v>
      </c>
      <c r="G75" s="14" t="s">
        <v>18</v>
      </c>
      <c r="H75" s="12">
        <v>223</v>
      </c>
      <c r="I75" s="13">
        <f>223/731</f>
        <v>0.30506155950752395</v>
      </c>
      <c r="J75" s="14" t="s">
        <v>18</v>
      </c>
      <c r="K75" s="12">
        <v>14</v>
      </c>
      <c r="L75" s="15">
        <f t="shared" si="1"/>
        <v>6.5107483732552651E-2</v>
      </c>
      <c r="M75" s="12">
        <v>44</v>
      </c>
      <c r="N75" s="12">
        <v>731</v>
      </c>
    </row>
    <row r="76" spans="1:14" ht="19.95" customHeight="1" x14ac:dyDescent="0.3">
      <c r="A76" s="2">
        <v>75</v>
      </c>
      <c r="B76" s="3" t="s">
        <v>98</v>
      </c>
      <c r="C76" s="3" t="s">
        <v>99</v>
      </c>
      <c r="D76" s="11" t="s">
        <v>21</v>
      </c>
      <c r="E76" s="5">
        <v>107</v>
      </c>
      <c r="F76" s="6">
        <f>107/288</f>
        <v>0.37152777777777779</v>
      </c>
      <c r="G76" s="7" t="s">
        <v>17</v>
      </c>
      <c r="H76" s="5">
        <v>97</v>
      </c>
      <c r="I76" s="6">
        <f>97/248</f>
        <v>0.3911290322580645</v>
      </c>
      <c r="J76" s="7" t="s">
        <v>17</v>
      </c>
      <c r="K76" s="5">
        <v>-10</v>
      </c>
      <c r="L76" s="8">
        <f t="shared" si="1"/>
        <v>1.9601254480286712E-2</v>
      </c>
      <c r="M76" s="5">
        <v>28</v>
      </c>
      <c r="N76" s="5">
        <v>248</v>
      </c>
    </row>
    <row r="77" spans="1:14" ht="19.95" customHeight="1" x14ac:dyDescent="0.3">
      <c r="A77" s="9">
        <v>76</v>
      </c>
      <c r="B77" s="10" t="s">
        <v>100</v>
      </c>
      <c r="C77" s="10" t="s">
        <v>101</v>
      </c>
      <c r="D77" s="11" t="s">
        <v>21</v>
      </c>
      <c r="E77" s="12">
        <v>314</v>
      </c>
      <c r="F77" s="13">
        <f>314/806</f>
        <v>0.38957816377171217</v>
      </c>
      <c r="G77" s="14" t="s">
        <v>17</v>
      </c>
      <c r="H77" s="12">
        <v>361</v>
      </c>
      <c r="I77" s="13">
        <f>361/752</f>
        <v>0.48005319148936171</v>
      </c>
      <c r="J77" s="14" t="s">
        <v>17</v>
      </c>
      <c r="K77" s="12">
        <v>47</v>
      </c>
      <c r="L77" s="15">
        <f t="shared" si="1"/>
        <v>9.0475027717649537E-2</v>
      </c>
      <c r="M77" s="12">
        <v>107</v>
      </c>
      <c r="N77" s="12">
        <v>752</v>
      </c>
    </row>
    <row r="78" spans="1:14" ht="19.95" customHeight="1" x14ac:dyDescent="0.3">
      <c r="A78" s="2">
        <v>77</v>
      </c>
      <c r="B78" s="3" t="s">
        <v>100</v>
      </c>
      <c r="C78" s="3" t="s">
        <v>101</v>
      </c>
      <c r="D78" s="16" t="s">
        <v>26</v>
      </c>
      <c r="E78" s="5">
        <v>85</v>
      </c>
      <c r="F78" s="6">
        <f>85/446</f>
        <v>0.1905829596412556</v>
      </c>
      <c r="G78" s="7" t="s">
        <v>27</v>
      </c>
      <c r="H78" s="5">
        <v>97</v>
      </c>
      <c r="I78" s="6">
        <f>97/395</f>
        <v>0.24556962025316456</v>
      </c>
      <c r="J78" s="7" t="s">
        <v>18</v>
      </c>
      <c r="K78" s="5">
        <v>12</v>
      </c>
      <c r="L78" s="8">
        <f t="shared" si="1"/>
        <v>5.4986660611908961E-2</v>
      </c>
      <c r="M78" s="5">
        <v>63</v>
      </c>
      <c r="N78" s="5">
        <v>395</v>
      </c>
    </row>
    <row r="79" spans="1:14" ht="19.95" customHeight="1" x14ac:dyDescent="0.3">
      <c r="A79" s="9">
        <v>78</v>
      </c>
      <c r="B79" s="10" t="s">
        <v>102</v>
      </c>
      <c r="C79" s="10" t="s">
        <v>103</v>
      </c>
      <c r="D79" s="18" t="s">
        <v>347</v>
      </c>
      <c r="E79" s="12">
        <v>130</v>
      </c>
      <c r="F79" s="13">
        <f>130/367</f>
        <v>0.35422343324250682</v>
      </c>
      <c r="G79" s="14" t="s">
        <v>17</v>
      </c>
      <c r="H79" s="12">
        <v>139</v>
      </c>
      <c r="I79" s="13">
        <f>139/467</f>
        <v>0.29764453961456105</v>
      </c>
      <c r="J79" s="14" t="s">
        <v>18</v>
      </c>
      <c r="K79" s="12">
        <v>9</v>
      </c>
      <c r="L79" s="15">
        <f t="shared" si="1"/>
        <v>-5.657889362794577E-2</v>
      </c>
      <c r="M79" s="12">
        <v>21</v>
      </c>
      <c r="N79" s="12">
        <v>467</v>
      </c>
    </row>
    <row r="80" spans="1:14" ht="19.95" customHeight="1" x14ac:dyDescent="0.3">
      <c r="A80" s="2">
        <v>79</v>
      </c>
      <c r="B80" s="3" t="s">
        <v>102</v>
      </c>
      <c r="C80" s="3" t="s">
        <v>103</v>
      </c>
      <c r="D80" s="11" t="s">
        <v>21</v>
      </c>
      <c r="E80" s="5">
        <v>303</v>
      </c>
      <c r="F80" s="6">
        <f>303/777</f>
        <v>0.38996138996138996</v>
      </c>
      <c r="G80" s="7" t="s">
        <v>17</v>
      </c>
      <c r="H80" s="5">
        <v>203</v>
      </c>
      <c r="I80" s="6">
        <f>203/503</f>
        <v>0.40357852882703776</v>
      </c>
      <c r="J80" s="7" t="s">
        <v>17</v>
      </c>
      <c r="K80" s="5">
        <v>-100</v>
      </c>
      <c r="L80" s="8">
        <f t="shared" si="1"/>
        <v>1.3617138865647804E-2</v>
      </c>
      <c r="M80" s="5">
        <v>18</v>
      </c>
      <c r="N80" s="5">
        <v>503</v>
      </c>
    </row>
    <row r="81" spans="1:14" ht="19.95" customHeight="1" x14ac:dyDescent="0.3">
      <c r="A81" s="9">
        <v>80</v>
      </c>
      <c r="B81" s="10" t="s">
        <v>104</v>
      </c>
      <c r="C81" s="10" t="s">
        <v>105</v>
      </c>
      <c r="D81" s="4" t="s">
        <v>16</v>
      </c>
      <c r="E81" s="12">
        <v>160</v>
      </c>
      <c r="F81" s="13">
        <f>160/640</f>
        <v>0.25</v>
      </c>
      <c r="G81" s="14" t="s">
        <v>27</v>
      </c>
      <c r="H81" s="12">
        <v>205</v>
      </c>
      <c r="I81" s="13">
        <f>205/567</f>
        <v>0.36155202821869487</v>
      </c>
      <c r="J81" s="14" t="s">
        <v>17</v>
      </c>
      <c r="K81" s="12">
        <v>45</v>
      </c>
      <c r="L81" s="15">
        <f t="shared" si="1"/>
        <v>0.11155202821869487</v>
      </c>
      <c r="M81" s="12">
        <v>15</v>
      </c>
      <c r="N81" s="12">
        <v>567</v>
      </c>
    </row>
    <row r="82" spans="1:14" ht="19.95" customHeight="1" x14ac:dyDescent="0.3">
      <c r="A82" s="2">
        <v>81</v>
      </c>
      <c r="B82" s="3" t="s">
        <v>106</v>
      </c>
      <c r="C82" s="3" t="s">
        <v>107</v>
      </c>
      <c r="D82" s="18" t="s">
        <v>347</v>
      </c>
      <c r="E82" s="5">
        <v>145</v>
      </c>
      <c r="F82" s="6">
        <f>145/445</f>
        <v>0.3258426966292135</v>
      </c>
      <c r="G82" s="7" t="s">
        <v>17</v>
      </c>
      <c r="H82" s="5">
        <v>189</v>
      </c>
      <c r="I82" s="6">
        <f>189/439</f>
        <v>0.43052391799544421</v>
      </c>
      <c r="J82" s="7" t="s">
        <v>18</v>
      </c>
      <c r="K82" s="5">
        <v>44</v>
      </c>
      <c r="L82" s="8">
        <f t="shared" si="1"/>
        <v>0.1046812213662307</v>
      </c>
      <c r="M82" s="5">
        <v>21</v>
      </c>
      <c r="N82" s="5">
        <v>439</v>
      </c>
    </row>
    <row r="83" spans="1:14" ht="19.95" customHeight="1" x14ac:dyDescent="0.3">
      <c r="A83" s="9">
        <v>82</v>
      </c>
      <c r="B83" s="10" t="s">
        <v>108</v>
      </c>
      <c r="C83" s="10" t="s">
        <v>109</v>
      </c>
      <c r="D83" s="11" t="s">
        <v>21</v>
      </c>
      <c r="E83" s="12">
        <v>203</v>
      </c>
      <c r="F83" s="13">
        <f>203/579</f>
        <v>0.35060449050086356</v>
      </c>
      <c r="G83" s="14" t="s">
        <v>17</v>
      </c>
      <c r="H83" s="12">
        <v>345</v>
      </c>
      <c r="I83" s="13">
        <f>345/575</f>
        <v>0.6</v>
      </c>
      <c r="J83" s="14" t="s">
        <v>17</v>
      </c>
      <c r="K83" s="12">
        <v>142</v>
      </c>
      <c r="L83" s="15">
        <f t="shared" si="1"/>
        <v>0.24939550949913641</v>
      </c>
      <c r="M83" s="12">
        <v>227</v>
      </c>
      <c r="N83" s="12">
        <v>575</v>
      </c>
    </row>
    <row r="84" spans="1:14" ht="19.95" customHeight="1" x14ac:dyDescent="0.3">
      <c r="A84" s="2">
        <v>83</v>
      </c>
      <c r="B84" s="3" t="s">
        <v>108</v>
      </c>
      <c r="C84" s="3" t="s">
        <v>109</v>
      </c>
      <c r="D84" s="4" t="s">
        <v>16</v>
      </c>
      <c r="E84" s="5">
        <v>87</v>
      </c>
      <c r="F84" s="6">
        <f>87/402</f>
        <v>0.21641791044776118</v>
      </c>
      <c r="G84" s="7" t="s">
        <v>27</v>
      </c>
      <c r="H84" s="5">
        <v>112</v>
      </c>
      <c r="I84" s="6">
        <f>112/326</f>
        <v>0.34355828220858897</v>
      </c>
      <c r="J84" s="7" t="s">
        <v>17</v>
      </c>
      <c r="K84" s="5">
        <v>25</v>
      </c>
      <c r="L84" s="8">
        <f t="shared" si="1"/>
        <v>0.12714037176082779</v>
      </c>
      <c r="M84" s="5">
        <v>11</v>
      </c>
      <c r="N84" s="5">
        <v>326</v>
      </c>
    </row>
    <row r="85" spans="1:14" ht="19.95" customHeight="1" x14ac:dyDescent="0.3">
      <c r="A85" s="9">
        <v>84</v>
      </c>
      <c r="B85" s="10" t="s">
        <v>110</v>
      </c>
      <c r="C85" s="10" t="s">
        <v>111</v>
      </c>
      <c r="D85" s="11" t="s">
        <v>21</v>
      </c>
      <c r="E85" s="12">
        <v>227</v>
      </c>
      <c r="F85" s="13">
        <f>227/542</f>
        <v>0.41881918819188191</v>
      </c>
      <c r="G85" s="14" t="s">
        <v>17</v>
      </c>
      <c r="H85" s="12">
        <v>247</v>
      </c>
      <c r="I85" s="13">
        <f>247/479</f>
        <v>0.51565762004175364</v>
      </c>
      <c r="J85" s="14" t="s">
        <v>17</v>
      </c>
      <c r="K85" s="12">
        <v>20</v>
      </c>
      <c r="L85" s="15">
        <f t="shared" si="1"/>
        <v>9.6838431849871731E-2</v>
      </c>
      <c r="M85" s="12">
        <v>122</v>
      </c>
      <c r="N85" s="12">
        <v>479</v>
      </c>
    </row>
    <row r="86" spans="1:14" ht="19.95" customHeight="1" x14ac:dyDescent="0.3">
      <c r="A86" s="2">
        <v>85</v>
      </c>
      <c r="B86" s="3" t="s">
        <v>112</v>
      </c>
      <c r="C86" s="3" t="s">
        <v>113</v>
      </c>
      <c r="D86" s="18" t="s">
        <v>347</v>
      </c>
      <c r="E86" s="5">
        <v>262</v>
      </c>
      <c r="F86" s="6">
        <f>262/764</f>
        <v>0.34293193717277487</v>
      </c>
      <c r="G86" s="7" t="s">
        <v>17</v>
      </c>
      <c r="H86" s="5">
        <v>212</v>
      </c>
      <c r="I86" s="6">
        <f>212/678</f>
        <v>0.31268436578171094</v>
      </c>
      <c r="J86" s="7" t="s">
        <v>18</v>
      </c>
      <c r="K86" s="5">
        <v>-50</v>
      </c>
      <c r="L86" s="8">
        <f t="shared" si="1"/>
        <v>-3.0247571391063932E-2</v>
      </c>
      <c r="M86" s="5">
        <v>97</v>
      </c>
      <c r="N86" s="5">
        <v>678</v>
      </c>
    </row>
    <row r="87" spans="1:14" ht="19.95" customHeight="1" x14ac:dyDescent="0.3">
      <c r="A87" s="9">
        <v>86</v>
      </c>
      <c r="B87" s="10" t="s">
        <v>114</v>
      </c>
      <c r="C87" s="10" t="s">
        <v>115</v>
      </c>
      <c r="D87" s="16" t="s">
        <v>26</v>
      </c>
      <c r="E87" s="12">
        <v>164</v>
      </c>
      <c r="F87" s="13">
        <f>164/551</f>
        <v>0.29764065335753176</v>
      </c>
      <c r="G87" s="14" t="s">
        <v>27</v>
      </c>
      <c r="H87" s="12">
        <v>200</v>
      </c>
      <c r="I87" s="13">
        <f>200/542</f>
        <v>0.36900369003690037</v>
      </c>
      <c r="J87" s="14" t="s">
        <v>18</v>
      </c>
      <c r="K87" s="12">
        <v>36</v>
      </c>
      <c r="L87" s="15">
        <f t="shared" si="1"/>
        <v>7.1363036679368608E-2</v>
      </c>
      <c r="M87" s="12">
        <v>35</v>
      </c>
      <c r="N87" s="12">
        <v>542</v>
      </c>
    </row>
    <row r="88" spans="1:14" ht="19.95" customHeight="1" x14ac:dyDescent="0.3">
      <c r="A88" s="2">
        <v>87</v>
      </c>
      <c r="B88" s="3" t="s">
        <v>116</v>
      </c>
      <c r="C88" s="3" t="s">
        <v>117</v>
      </c>
      <c r="D88" s="11" t="s">
        <v>21</v>
      </c>
      <c r="E88" s="5">
        <v>153</v>
      </c>
      <c r="F88" s="6">
        <f>153/409</f>
        <v>0.37408312958435208</v>
      </c>
      <c r="G88" s="7" t="s">
        <v>17</v>
      </c>
      <c r="H88" s="5">
        <v>188</v>
      </c>
      <c r="I88" s="6">
        <f>188/372</f>
        <v>0.5053763440860215</v>
      </c>
      <c r="J88" s="7" t="s">
        <v>17</v>
      </c>
      <c r="K88" s="5">
        <v>35</v>
      </c>
      <c r="L88" s="8">
        <f t="shared" si="1"/>
        <v>0.13129321450166942</v>
      </c>
      <c r="M88" s="5">
        <v>67</v>
      </c>
      <c r="N88" s="5">
        <v>372</v>
      </c>
    </row>
    <row r="89" spans="1:14" ht="19.95" customHeight="1" x14ac:dyDescent="0.3">
      <c r="A89" s="9">
        <v>88</v>
      </c>
      <c r="B89" s="10" t="s">
        <v>118</v>
      </c>
      <c r="C89" s="10" t="s">
        <v>119</v>
      </c>
      <c r="D89" s="11" t="s">
        <v>21</v>
      </c>
      <c r="E89" s="12">
        <v>333</v>
      </c>
      <c r="F89" s="13">
        <f>333/861</f>
        <v>0.38675958188153309</v>
      </c>
      <c r="G89" s="14" t="s">
        <v>17</v>
      </c>
      <c r="H89" s="12">
        <v>374</v>
      </c>
      <c r="I89" s="13">
        <f>374/774</f>
        <v>0.48320413436692505</v>
      </c>
      <c r="J89" s="14" t="s">
        <v>17</v>
      </c>
      <c r="K89" s="12">
        <v>41</v>
      </c>
      <c r="L89" s="15">
        <f t="shared" si="1"/>
        <v>9.6444552485391966E-2</v>
      </c>
      <c r="M89" s="12">
        <v>216</v>
      </c>
      <c r="N89" s="12">
        <v>774</v>
      </c>
    </row>
    <row r="90" spans="1:14" ht="19.95" customHeight="1" x14ac:dyDescent="0.3">
      <c r="A90" s="2">
        <v>89</v>
      </c>
      <c r="B90" s="3" t="s">
        <v>120</v>
      </c>
      <c r="C90" s="3" t="s">
        <v>121</v>
      </c>
      <c r="D90" s="11" t="s">
        <v>21</v>
      </c>
      <c r="E90" s="5">
        <v>247</v>
      </c>
      <c r="F90" s="6">
        <f>247/507</f>
        <v>0.48717948717948717</v>
      </c>
      <c r="G90" s="7" t="s">
        <v>17</v>
      </c>
      <c r="H90" s="5">
        <v>268</v>
      </c>
      <c r="I90" s="6">
        <f>268/477</f>
        <v>0.56184486373165621</v>
      </c>
      <c r="J90" s="7" t="s">
        <v>17</v>
      </c>
      <c r="K90" s="5">
        <v>21</v>
      </c>
      <c r="L90" s="8">
        <f t="shared" si="1"/>
        <v>7.4665376552169038E-2</v>
      </c>
      <c r="M90" s="5">
        <v>191</v>
      </c>
      <c r="N90" s="5">
        <v>477</v>
      </c>
    </row>
    <row r="91" spans="1:14" ht="19.95" customHeight="1" x14ac:dyDescent="0.3">
      <c r="A91" s="9">
        <v>90</v>
      </c>
      <c r="B91" s="10" t="s">
        <v>122</v>
      </c>
      <c r="C91" s="10" t="s">
        <v>123</v>
      </c>
      <c r="D91" s="16" t="s">
        <v>26</v>
      </c>
      <c r="E91" s="12">
        <v>181</v>
      </c>
      <c r="F91" s="13">
        <f>181/480</f>
        <v>0.37708333333333333</v>
      </c>
      <c r="G91" s="14" t="s">
        <v>18</v>
      </c>
      <c r="H91" s="12">
        <v>111</v>
      </c>
      <c r="I91" s="13">
        <f>111/455</f>
        <v>0.24395604395604395</v>
      </c>
      <c r="J91" s="14" t="s">
        <v>18</v>
      </c>
      <c r="K91" s="12">
        <v>-70</v>
      </c>
      <c r="L91" s="15">
        <f t="shared" si="1"/>
        <v>-0.13312728937728938</v>
      </c>
      <c r="M91" s="12">
        <v>125</v>
      </c>
      <c r="N91" s="12">
        <v>455</v>
      </c>
    </row>
    <row r="92" spans="1:14" ht="19.95" customHeight="1" x14ac:dyDescent="0.3">
      <c r="A92" s="2">
        <v>91</v>
      </c>
      <c r="B92" s="3" t="s">
        <v>124</v>
      </c>
      <c r="C92" s="3" t="s">
        <v>125</v>
      </c>
      <c r="D92" s="16" t="s">
        <v>26</v>
      </c>
      <c r="E92" s="5">
        <v>165</v>
      </c>
      <c r="F92" s="6">
        <f>165/604</f>
        <v>0.27317880794701987</v>
      </c>
      <c r="G92" s="7" t="s">
        <v>18</v>
      </c>
      <c r="H92" s="5">
        <v>163</v>
      </c>
      <c r="I92" s="6">
        <f>163/572</f>
        <v>0.28496503496503495</v>
      </c>
      <c r="J92" s="7" t="s">
        <v>18</v>
      </c>
      <c r="K92" s="5">
        <v>-2</v>
      </c>
      <c r="L92" s="8">
        <f t="shared" si="1"/>
        <v>1.1786227018015072E-2</v>
      </c>
      <c r="M92" s="5">
        <v>120</v>
      </c>
      <c r="N92" s="5">
        <v>572</v>
      </c>
    </row>
    <row r="93" spans="1:14" ht="19.95" customHeight="1" x14ac:dyDescent="0.3">
      <c r="A93" s="9">
        <v>92</v>
      </c>
      <c r="B93" s="10" t="s">
        <v>126</v>
      </c>
      <c r="C93" s="10" t="s">
        <v>127</v>
      </c>
      <c r="D93" s="11" t="s">
        <v>21</v>
      </c>
      <c r="E93" s="12">
        <v>365</v>
      </c>
      <c r="F93" s="13">
        <f>365/697</f>
        <v>0.52367288378766141</v>
      </c>
      <c r="G93" s="14" t="s">
        <v>17</v>
      </c>
      <c r="H93" s="12">
        <v>303</v>
      </c>
      <c r="I93" s="13">
        <f>303/624</f>
        <v>0.48557692307692307</v>
      </c>
      <c r="J93" s="14" t="s">
        <v>17</v>
      </c>
      <c r="K93" s="12">
        <v>-62</v>
      </c>
      <c r="L93" s="15">
        <f t="shared" si="1"/>
        <v>-3.8095960710738341E-2</v>
      </c>
      <c r="M93" s="12">
        <v>158</v>
      </c>
      <c r="N93" s="12">
        <v>624</v>
      </c>
    </row>
    <row r="94" spans="1:14" ht="19.95" customHeight="1" x14ac:dyDescent="0.3">
      <c r="A94" s="2">
        <v>93</v>
      </c>
      <c r="B94" s="3" t="s">
        <v>128</v>
      </c>
      <c r="C94" s="3" t="s">
        <v>129</v>
      </c>
      <c r="D94" s="4" t="s">
        <v>16</v>
      </c>
      <c r="E94" s="5">
        <v>123</v>
      </c>
      <c r="F94" s="6">
        <f>123/514</f>
        <v>0.23929961089494164</v>
      </c>
      <c r="G94" s="7" t="s">
        <v>27</v>
      </c>
      <c r="H94" s="5">
        <v>316</v>
      </c>
      <c r="I94" s="6">
        <f>316/500</f>
        <v>0.63200000000000001</v>
      </c>
      <c r="J94" s="7" t="s">
        <v>17</v>
      </c>
      <c r="K94" s="5">
        <v>193</v>
      </c>
      <c r="L94" s="8">
        <f t="shared" si="1"/>
        <v>0.39270038910505833</v>
      </c>
      <c r="M94" s="5">
        <v>192</v>
      </c>
      <c r="N94" s="5">
        <v>500</v>
      </c>
    </row>
    <row r="95" spans="1:14" ht="19.95" customHeight="1" x14ac:dyDescent="0.3">
      <c r="A95" s="9">
        <v>94</v>
      </c>
      <c r="B95" s="10" t="s">
        <v>128</v>
      </c>
      <c r="C95" s="10" t="s">
        <v>129</v>
      </c>
      <c r="D95" s="16" t="s">
        <v>26</v>
      </c>
      <c r="E95" s="12">
        <v>99</v>
      </c>
      <c r="F95" s="13">
        <f>99/396</f>
        <v>0.25</v>
      </c>
      <c r="G95" s="14" t="s">
        <v>27</v>
      </c>
      <c r="H95" s="12">
        <v>111</v>
      </c>
      <c r="I95" s="13">
        <f>111/378</f>
        <v>0.29365079365079366</v>
      </c>
      <c r="J95" s="14" t="s">
        <v>18</v>
      </c>
      <c r="K95" s="12">
        <v>12</v>
      </c>
      <c r="L95" s="15">
        <f t="shared" si="1"/>
        <v>4.3650793650793662E-2</v>
      </c>
      <c r="M95" s="12">
        <v>42</v>
      </c>
      <c r="N95" s="12">
        <v>378</v>
      </c>
    </row>
    <row r="96" spans="1:14" ht="19.95" customHeight="1" x14ac:dyDescent="0.3">
      <c r="A96" s="2">
        <v>95</v>
      </c>
      <c r="B96" s="3" t="s">
        <v>130</v>
      </c>
      <c r="C96" s="3" t="s">
        <v>131</v>
      </c>
      <c r="D96" s="18" t="s">
        <v>347</v>
      </c>
      <c r="E96" s="5">
        <v>215</v>
      </c>
      <c r="F96" s="6">
        <f>215/597</f>
        <v>0.36013400335008378</v>
      </c>
      <c r="G96" s="7" t="s">
        <v>17</v>
      </c>
      <c r="H96" s="5">
        <v>189</v>
      </c>
      <c r="I96" s="6">
        <f>189/528</f>
        <v>0.35795454545454547</v>
      </c>
      <c r="J96" s="7" t="s">
        <v>18</v>
      </c>
      <c r="K96" s="5">
        <v>-26</v>
      </c>
      <c r="L96" s="8">
        <f t="shared" si="1"/>
        <v>-2.1794578955383059E-3</v>
      </c>
      <c r="M96" s="5">
        <v>25</v>
      </c>
      <c r="N96" s="5">
        <v>528</v>
      </c>
    </row>
    <row r="97" spans="1:14" ht="19.95" customHeight="1" x14ac:dyDescent="0.3">
      <c r="A97" s="9">
        <v>96</v>
      </c>
      <c r="B97" s="10" t="s">
        <v>130</v>
      </c>
      <c r="C97" s="10" t="s">
        <v>131</v>
      </c>
      <c r="D97" s="18" t="s">
        <v>65</v>
      </c>
      <c r="E97" s="12">
        <v>202</v>
      </c>
      <c r="F97" s="13">
        <f>202/560</f>
        <v>0.36071428571428571</v>
      </c>
      <c r="G97" s="14" t="s">
        <v>17</v>
      </c>
      <c r="H97" s="12">
        <v>140</v>
      </c>
      <c r="I97" s="13">
        <f>140/510</f>
        <v>0.27450980392156865</v>
      </c>
      <c r="J97" s="14" t="s">
        <v>66</v>
      </c>
      <c r="K97" s="12">
        <v>-62</v>
      </c>
      <c r="L97" s="15">
        <f t="shared" si="1"/>
        <v>-8.6204481792717058E-2</v>
      </c>
      <c r="M97" s="12">
        <v>40</v>
      </c>
      <c r="N97" s="12">
        <v>510</v>
      </c>
    </row>
    <row r="98" spans="1:14" ht="19.95" customHeight="1" x14ac:dyDescent="0.3">
      <c r="A98" s="2">
        <v>97</v>
      </c>
      <c r="B98" s="3" t="s">
        <v>130</v>
      </c>
      <c r="C98" s="3" t="s">
        <v>131</v>
      </c>
      <c r="D98" s="4" t="s">
        <v>16</v>
      </c>
      <c r="E98" s="5">
        <v>200</v>
      </c>
      <c r="F98" s="6">
        <f>200/716</f>
        <v>0.27932960893854747</v>
      </c>
      <c r="G98" s="7" t="s">
        <v>18</v>
      </c>
      <c r="H98" s="5">
        <v>187</v>
      </c>
      <c r="I98" s="6">
        <f>187/637</f>
        <v>0.29356357927786497</v>
      </c>
      <c r="J98" s="7" t="s">
        <v>17</v>
      </c>
      <c r="K98" s="5">
        <v>-13</v>
      </c>
      <c r="L98" s="8">
        <f t="shared" si="1"/>
        <v>1.4233970339317503E-2</v>
      </c>
      <c r="M98" s="5">
        <v>12</v>
      </c>
      <c r="N98" s="5">
        <v>637</v>
      </c>
    </row>
    <row r="99" spans="1:14" ht="19.95" customHeight="1" x14ac:dyDescent="0.3">
      <c r="A99" s="9">
        <v>98</v>
      </c>
      <c r="B99" s="10" t="s">
        <v>130</v>
      </c>
      <c r="C99" s="10" t="s">
        <v>131</v>
      </c>
      <c r="D99" s="18" t="s">
        <v>65</v>
      </c>
      <c r="E99" s="12">
        <v>301</v>
      </c>
      <c r="F99" s="13">
        <f>301/791</f>
        <v>0.38053097345132741</v>
      </c>
      <c r="G99" s="14" t="s">
        <v>17</v>
      </c>
      <c r="H99" s="12">
        <v>81</v>
      </c>
      <c r="I99" s="13">
        <f>81/794</f>
        <v>0.10201511335012595</v>
      </c>
      <c r="J99" s="14" t="s">
        <v>66</v>
      </c>
      <c r="K99" s="12">
        <v>-220</v>
      </c>
      <c r="L99" s="15">
        <f t="shared" si="1"/>
        <v>-0.27851586010120144</v>
      </c>
      <c r="M99" s="12">
        <v>382</v>
      </c>
      <c r="N99" s="12">
        <v>794</v>
      </c>
    </row>
    <row r="100" spans="1:14" ht="19.95" customHeight="1" x14ac:dyDescent="0.3">
      <c r="A100" s="2">
        <v>99</v>
      </c>
      <c r="B100" s="3" t="s">
        <v>130</v>
      </c>
      <c r="C100" s="3" t="s">
        <v>131</v>
      </c>
      <c r="D100" s="18" t="s">
        <v>65</v>
      </c>
      <c r="E100" s="5">
        <v>186</v>
      </c>
      <c r="F100" s="6">
        <f>186/562</f>
        <v>0.33096085409252668</v>
      </c>
      <c r="G100" s="7" t="s">
        <v>17</v>
      </c>
      <c r="H100" s="5">
        <v>47</v>
      </c>
      <c r="I100" s="6">
        <f>47/544</f>
        <v>8.639705882352941E-2</v>
      </c>
      <c r="J100" s="7" t="s">
        <v>66</v>
      </c>
      <c r="K100" s="5">
        <v>-139</v>
      </c>
      <c r="L100" s="8">
        <f t="shared" si="1"/>
        <v>-0.24456379526899727</v>
      </c>
      <c r="M100" s="5">
        <v>257</v>
      </c>
      <c r="N100" s="5">
        <v>544</v>
      </c>
    </row>
    <row r="101" spans="1:14" ht="19.95" customHeight="1" x14ac:dyDescent="0.3">
      <c r="A101" s="9">
        <v>100</v>
      </c>
      <c r="B101" s="10" t="s">
        <v>130</v>
      </c>
      <c r="C101" s="10" t="s">
        <v>131</v>
      </c>
      <c r="D101" s="11" t="s">
        <v>21</v>
      </c>
      <c r="E101" s="12">
        <v>197</v>
      </c>
      <c r="F101" s="13">
        <f>197/501</f>
        <v>0.39321357285429143</v>
      </c>
      <c r="G101" s="14" t="s">
        <v>17</v>
      </c>
      <c r="H101" s="12">
        <v>169</v>
      </c>
      <c r="I101" s="13">
        <f>169/439</f>
        <v>0.38496583143507973</v>
      </c>
      <c r="J101" s="14" t="s">
        <v>17</v>
      </c>
      <c r="K101" s="12">
        <v>-28</v>
      </c>
      <c r="L101" s="15">
        <f t="shared" si="1"/>
        <v>-8.247741419211696E-3</v>
      </c>
      <c r="M101" s="12">
        <v>27</v>
      </c>
      <c r="N101" s="12">
        <v>439</v>
      </c>
    </row>
    <row r="102" spans="1:14" ht="19.95" customHeight="1" x14ac:dyDescent="0.3">
      <c r="A102" s="2">
        <v>101</v>
      </c>
      <c r="B102" s="3" t="s">
        <v>130</v>
      </c>
      <c r="C102" s="3" t="s">
        <v>131</v>
      </c>
      <c r="D102" s="11" t="s">
        <v>21</v>
      </c>
      <c r="E102" s="5">
        <v>361</v>
      </c>
      <c r="F102" s="6">
        <f>361/850</f>
        <v>0.42470588235294116</v>
      </c>
      <c r="G102" s="7" t="s">
        <v>17</v>
      </c>
      <c r="H102" s="5">
        <v>247</v>
      </c>
      <c r="I102" s="6">
        <f>247/694</f>
        <v>0.35590778097982712</v>
      </c>
      <c r="J102" s="7" t="s">
        <v>17</v>
      </c>
      <c r="K102" s="5">
        <v>-114</v>
      </c>
      <c r="L102" s="8">
        <f t="shared" si="1"/>
        <v>-6.879810137311404E-2</v>
      </c>
      <c r="M102" s="5">
        <v>20</v>
      </c>
      <c r="N102" s="5">
        <v>694</v>
      </c>
    </row>
    <row r="103" spans="1:14" ht="19.95" customHeight="1" x14ac:dyDescent="0.3">
      <c r="A103" s="9">
        <v>102</v>
      </c>
      <c r="B103" s="10" t="s">
        <v>130</v>
      </c>
      <c r="C103" s="10" t="s">
        <v>131</v>
      </c>
      <c r="D103" s="18" t="s">
        <v>347</v>
      </c>
      <c r="E103" s="12">
        <v>298</v>
      </c>
      <c r="F103" s="13">
        <f>298/703</f>
        <v>0.42389758179231862</v>
      </c>
      <c r="G103" s="14" t="s">
        <v>17</v>
      </c>
      <c r="H103" s="12">
        <v>180</v>
      </c>
      <c r="I103" s="13">
        <f>180/566</f>
        <v>0.31802120141342755</v>
      </c>
      <c r="J103" s="14" t="s">
        <v>18</v>
      </c>
      <c r="K103" s="12">
        <v>-118</v>
      </c>
      <c r="L103" s="15">
        <f t="shared" si="1"/>
        <v>-0.10587638037889108</v>
      </c>
      <c r="M103" s="12">
        <v>19</v>
      </c>
      <c r="N103" s="12">
        <v>566</v>
      </c>
    </row>
    <row r="104" spans="1:14" ht="19.95" customHeight="1" x14ac:dyDescent="0.3">
      <c r="A104" s="2">
        <v>103</v>
      </c>
      <c r="B104" s="3" t="s">
        <v>132</v>
      </c>
      <c r="C104" s="3" t="s">
        <v>133</v>
      </c>
      <c r="D104" s="18" t="s">
        <v>347</v>
      </c>
      <c r="E104" s="5">
        <v>115</v>
      </c>
      <c r="F104" s="6">
        <f>115/307</f>
        <v>0.3745928338762215</v>
      </c>
      <c r="G104" s="7" t="s">
        <v>17</v>
      </c>
      <c r="H104" s="5">
        <v>105</v>
      </c>
      <c r="I104" s="6">
        <f>105/268</f>
        <v>0.39179104477611942</v>
      </c>
      <c r="J104" s="7" t="s">
        <v>18</v>
      </c>
      <c r="K104" s="5">
        <v>-10</v>
      </c>
      <c r="L104" s="8">
        <f t="shared" si="1"/>
        <v>1.7198210899897926E-2</v>
      </c>
      <c r="M104" s="5">
        <v>11</v>
      </c>
      <c r="N104" s="5">
        <v>268</v>
      </c>
    </row>
    <row r="105" spans="1:14" ht="19.95" customHeight="1" x14ac:dyDescent="0.3">
      <c r="A105" s="9">
        <v>104</v>
      </c>
      <c r="B105" s="10" t="s">
        <v>134</v>
      </c>
      <c r="C105" s="10" t="s">
        <v>135</v>
      </c>
      <c r="D105" s="16" t="s">
        <v>26</v>
      </c>
      <c r="E105" s="12">
        <v>141</v>
      </c>
      <c r="F105" s="13">
        <f>141/536</f>
        <v>0.26305970149253732</v>
      </c>
      <c r="G105" s="14" t="s">
        <v>27</v>
      </c>
      <c r="H105" s="12">
        <v>133</v>
      </c>
      <c r="I105" s="13">
        <f>133/484</f>
        <v>0.27479338842975204</v>
      </c>
      <c r="J105" s="14" t="s">
        <v>18</v>
      </c>
      <c r="K105" s="12">
        <v>-8</v>
      </c>
      <c r="L105" s="15">
        <f t="shared" si="1"/>
        <v>1.1733686937214716E-2</v>
      </c>
      <c r="M105" s="12">
        <v>117</v>
      </c>
      <c r="N105" s="12">
        <v>484</v>
      </c>
    </row>
    <row r="106" spans="1:14" ht="19.95" customHeight="1" x14ac:dyDescent="0.3">
      <c r="A106" s="2">
        <v>105</v>
      </c>
      <c r="B106" s="3" t="s">
        <v>134</v>
      </c>
      <c r="C106" s="3" t="s">
        <v>135</v>
      </c>
      <c r="D106" s="16" t="s">
        <v>136</v>
      </c>
      <c r="E106" s="5">
        <v>3</v>
      </c>
      <c r="F106" s="6">
        <f>3/59</f>
        <v>5.0847457627118647E-2</v>
      </c>
      <c r="G106" s="7" t="s">
        <v>27</v>
      </c>
      <c r="H106" s="5">
        <v>0</v>
      </c>
      <c r="I106" s="6">
        <v>0</v>
      </c>
      <c r="J106" s="7" t="s">
        <v>137</v>
      </c>
      <c r="K106" s="5">
        <v>-3</v>
      </c>
      <c r="L106" s="8">
        <f t="shared" si="1"/>
        <v>-5.0847457627118647E-2</v>
      </c>
      <c r="M106" s="5">
        <v>0</v>
      </c>
      <c r="N106" s="5">
        <v>0</v>
      </c>
    </row>
    <row r="107" spans="1:14" ht="19.95" customHeight="1" x14ac:dyDescent="0.3">
      <c r="A107" s="9">
        <v>106</v>
      </c>
      <c r="B107" s="10" t="s">
        <v>138</v>
      </c>
      <c r="C107" s="10" t="s">
        <v>139</v>
      </c>
      <c r="D107" s="4" t="s">
        <v>16</v>
      </c>
      <c r="E107" s="12">
        <v>113</v>
      </c>
      <c r="F107" s="13">
        <f>113/429</f>
        <v>0.26340326340326342</v>
      </c>
      <c r="G107" s="14" t="s">
        <v>18</v>
      </c>
      <c r="H107" s="12">
        <v>221</v>
      </c>
      <c r="I107" s="13">
        <f>221/625</f>
        <v>0.35360000000000003</v>
      </c>
      <c r="J107" s="14" t="s">
        <v>17</v>
      </c>
      <c r="K107" s="12">
        <v>108</v>
      </c>
      <c r="L107" s="15">
        <f t="shared" si="1"/>
        <v>9.0196736596736604E-2</v>
      </c>
      <c r="M107" s="12">
        <v>35</v>
      </c>
      <c r="N107" s="12">
        <v>625</v>
      </c>
    </row>
    <row r="108" spans="1:14" ht="19.95" customHeight="1" x14ac:dyDescent="0.3">
      <c r="A108" s="2">
        <v>107</v>
      </c>
      <c r="B108" s="3" t="s">
        <v>140</v>
      </c>
      <c r="C108" s="3" t="s">
        <v>141</v>
      </c>
      <c r="D108" s="16" t="s">
        <v>26</v>
      </c>
      <c r="E108" s="5">
        <v>152</v>
      </c>
      <c r="F108" s="6">
        <f>152/490</f>
        <v>0.31020408163265306</v>
      </c>
      <c r="G108" s="7" t="s">
        <v>27</v>
      </c>
      <c r="H108" s="5">
        <v>67</v>
      </c>
      <c r="I108" s="6">
        <f>67/235</f>
        <v>0.28510638297872343</v>
      </c>
      <c r="J108" s="7" t="s">
        <v>66</v>
      </c>
      <c r="K108" s="5">
        <v>-85</v>
      </c>
      <c r="L108" s="8">
        <f t="shared" si="1"/>
        <v>-2.5097698653929634E-2</v>
      </c>
      <c r="M108" s="5">
        <v>48</v>
      </c>
      <c r="N108" s="5">
        <v>235</v>
      </c>
    </row>
    <row r="109" spans="1:14" ht="19.95" customHeight="1" x14ac:dyDescent="0.3">
      <c r="A109" s="9">
        <v>108</v>
      </c>
      <c r="B109" s="10" t="s">
        <v>142</v>
      </c>
      <c r="C109" s="10" t="s">
        <v>143</v>
      </c>
      <c r="D109" s="18" t="s">
        <v>347</v>
      </c>
      <c r="E109" s="12">
        <v>395</v>
      </c>
      <c r="F109" s="13">
        <f>395/910</f>
        <v>0.43406593406593408</v>
      </c>
      <c r="G109" s="14" t="s">
        <v>17</v>
      </c>
      <c r="H109" s="12">
        <v>280</v>
      </c>
      <c r="I109" s="13">
        <f>280/826</f>
        <v>0.33898305084745761</v>
      </c>
      <c r="J109" s="14" t="s">
        <v>18</v>
      </c>
      <c r="K109" s="12">
        <v>-115</v>
      </c>
      <c r="L109" s="15">
        <f t="shared" si="1"/>
        <v>-9.5082883218476466E-2</v>
      </c>
      <c r="M109" s="12">
        <v>26</v>
      </c>
      <c r="N109" s="12">
        <v>826</v>
      </c>
    </row>
    <row r="110" spans="1:14" ht="19.95" customHeight="1" x14ac:dyDescent="0.3">
      <c r="A110" s="2">
        <v>109</v>
      </c>
      <c r="B110" s="3" t="s">
        <v>144</v>
      </c>
      <c r="C110" s="3" t="s">
        <v>145</v>
      </c>
      <c r="D110" s="4" t="s">
        <v>16</v>
      </c>
      <c r="E110" s="5">
        <v>172</v>
      </c>
      <c r="F110" s="6">
        <f>172/527</f>
        <v>0.32637571157495254</v>
      </c>
      <c r="G110" s="7" t="s">
        <v>27</v>
      </c>
      <c r="H110" s="5">
        <v>207</v>
      </c>
      <c r="I110" s="6">
        <f>207/495</f>
        <v>0.41818181818181815</v>
      </c>
      <c r="J110" s="7" t="s">
        <v>17</v>
      </c>
      <c r="K110" s="5">
        <v>35</v>
      </c>
      <c r="L110" s="8">
        <f t="shared" si="1"/>
        <v>9.1806106606865612E-2</v>
      </c>
      <c r="M110" s="5">
        <v>89</v>
      </c>
      <c r="N110" s="5">
        <v>495</v>
      </c>
    </row>
    <row r="111" spans="1:14" ht="19.95" customHeight="1" x14ac:dyDescent="0.3">
      <c r="A111" s="9">
        <v>110</v>
      </c>
      <c r="B111" s="10" t="s">
        <v>146</v>
      </c>
      <c r="C111" s="10" t="s">
        <v>147</v>
      </c>
      <c r="D111" s="11" t="s">
        <v>21</v>
      </c>
      <c r="E111" s="12">
        <v>192</v>
      </c>
      <c r="F111" s="13">
        <f>192/615</f>
        <v>0.31219512195121951</v>
      </c>
      <c r="G111" s="14" t="s">
        <v>17</v>
      </c>
      <c r="H111" s="12">
        <v>293</v>
      </c>
      <c r="I111" s="13">
        <f>293/570</f>
        <v>0.51403508771929829</v>
      </c>
      <c r="J111" s="14" t="s">
        <v>17</v>
      </c>
      <c r="K111" s="12">
        <v>101</v>
      </c>
      <c r="L111" s="15">
        <f t="shared" si="1"/>
        <v>0.20183996576807878</v>
      </c>
      <c r="M111" s="12">
        <v>167</v>
      </c>
      <c r="N111" s="12">
        <v>570</v>
      </c>
    </row>
    <row r="112" spans="1:14" ht="19.95" customHeight="1" x14ac:dyDescent="0.3">
      <c r="A112" s="2">
        <v>111</v>
      </c>
      <c r="B112" s="3" t="s">
        <v>148</v>
      </c>
      <c r="C112" s="3" t="s">
        <v>149</v>
      </c>
      <c r="D112" s="17" t="s">
        <v>36</v>
      </c>
      <c r="E112" s="5">
        <v>179</v>
      </c>
      <c r="F112" s="6">
        <f>179/604</f>
        <v>0.29635761589403975</v>
      </c>
      <c r="G112" s="7" t="s">
        <v>27</v>
      </c>
      <c r="H112" s="5">
        <v>101</v>
      </c>
      <c r="I112" s="6">
        <f>101/596</f>
        <v>0.16946308724832215</v>
      </c>
      <c r="J112" s="7" t="s">
        <v>18</v>
      </c>
      <c r="K112" s="5">
        <v>-78</v>
      </c>
      <c r="L112" s="8">
        <f t="shared" si="1"/>
        <v>-0.1268945286457176</v>
      </c>
      <c r="M112" s="5">
        <v>63</v>
      </c>
      <c r="N112" s="5">
        <v>596</v>
      </c>
    </row>
    <row r="113" spans="1:14" ht="19.95" customHeight="1" x14ac:dyDescent="0.3">
      <c r="A113" s="9">
        <v>112</v>
      </c>
      <c r="B113" s="10" t="s">
        <v>150</v>
      </c>
      <c r="C113" s="10" t="s">
        <v>151</v>
      </c>
      <c r="D113" s="11" t="s">
        <v>21</v>
      </c>
      <c r="E113" s="12">
        <v>257</v>
      </c>
      <c r="F113" s="13">
        <f>257/506</f>
        <v>0.5079051383399209</v>
      </c>
      <c r="G113" s="14" t="s">
        <v>17</v>
      </c>
      <c r="H113" s="12">
        <v>152</v>
      </c>
      <c r="I113" s="13">
        <f>152/433</f>
        <v>0.3510392609699769</v>
      </c>
      <c r="J113" s="14" t="s">
        <v>17</v>
      </c>
      <c r="K113" s="12">
        <v>-105</v>
      </c>
      <c r="L113" s="15">
        <f t="shared" si="1"/>
        <v>-0.15686587736994401</v>
      </c>
      <c r="M113" s="12">
        <v>28</v>
      </c>
      <c r="N113" s="12">
        <v>433</v>
      </c>
    </row>
    <row r="114" spans="1:14" ht="19.95" customHeight="1" x14ac:dyDescent="0.3">
      <c r="A114" s="2">
        <v>113</v>
      </c>
      <c r="B114" s="3" t="s">
        <v>152</v>
      </c>
      <c r="C114" s="3" t="s">
        <v>153</v>
      </c>
      <c r="D114" s="16" t="s">
        <v>26</v>
      </c>
      <c r="E114" s="5">
        <v>277</v>
      </c>
      <c r="F114" s="6">
        <f>277/793</f>
        <v>0.34930643127364441</v>
      </c>
      <c r="G114" s="7" t="s">
        <v>18</v>
      </c>
      <c r="H114" s="5">
        <v>193</v>
      </c>
      <c r="I114" s="6">
        <f>193/678</f>
        <v>0.28466076696165193</v>
      </c>
      <c r="J114" s="7" t="s">
        <v>18</v>
      </c>
      <c r="K114" s="5">
        <v>-84</v>
      </c>
      <c r="L114" s="8">
        <f t="shared" si="1"/>
        <v>-6.4645664311992479E-2</v>
      </c>
      <c r="M114" s="5">
        <v>67</v>
      </c>
      <c r="N114" s="5">
        <v>678</v>
      </c>
    </row>
    <row r="115" spans="1:14" ht="19.95" customHeight="1" x14ac:dyDescent="0.3">
      <c r="A115" s="9">
        <v>114</v>
      </c>
      <c r="B115" s="10" t="s">
        <v>154</v>
      </c>
      <c r="C115" s="10" t="s">
        <v>155</v>
      </c>
      <c r="D115" s="16" t="s">
        <v>26</v>
      </c>
      <c r="E115" s="12">
        <v>141</v>
      </c>
      <c r="F115" s="13">
        <f>141/465</f>
        <v>0.3032258064516129</v>
      </c>
      <c r="G115" s="14" t="s">
        <v>27</v>
      </c>
      <c r="H115" s="12">
        <v>87</v>
      </c>
      <c r="I115" s="13">
        <f>87/400</f>
        <v>0.2175</v>
      </c>
      <c r="J115" s="14" t="s">
        <v>18</v>
      </c>
      <c r="K115" s="12">
        <v>-54</v>
      </c>
      <c r="L115" s="15">
        <f t="shared" si="1"/>
        <v>-8.5725806451612901E-2</v>
      </c>
      <c r="M115" s="12">
        <v>81</v>
      </c>
      <c r="N115" s="12">
        <v>400</v>
      </c>
    </row>
    <row r="116" spans="1:14" ht="19.95" customHeight="1" x14ac:dyDescent="0.3">
      <c r="A116" s="2">
        <v>115</v>
      </c>
      <c r="B116" s="3" t="s">
        <v>156</v>
      </c>
      <c r="C116" s="3" t="s">
        <v>157</v>
      </c>
      <c r="D116" s="18" t="s">
        <v>347</v>
      </c>
      <c r="E116" s="5">
        <v>273</v>
      </c>
      <c r="F116" s="6">
        <f>273/728</f>
        <v>0.375</v>
      </c>
      <c r="G116" s="7" t="s">
        <v>17</v>
      </c>
      <c r="H116" s="5">
        <v>214</v>
      </c>
      <c r="I116" s="6">
        <f>214/666</f>
        <v>0.3213213213213213</v>
      </c>
      <c r="J116" s="7" t="s">
        <v>18</v>
      </c>
      <c r="K116" s="5">
        <v>-59</v>
      </c>
      <c r="L116" s="8">
        <f t="shared" si="1"/>
        <v>-5.3678678678678704E-2</v>
      </c>
      <c r="M116" s="5">
        <v>159</v>
      </c>
      <c r="N116" s="5">
        <v>666</v>
      </c>
    </row>
    <row r="117" spans="1:14" ht="19.95" customHeight="1" x14ac:dyDescent="0.3">
      <c r="A117" s="9">
        <v>116</v>
      </c>
      <c r="B117" s="10" t="s">
        <v>158</v>
      </c>
      <c r="C117" s="10" t="s">
        <v>159</v>
      </c>
      <c r="D117" s="18" t="s">
        <v>347</v>
      </c>
      <c r="E117" s="12">
        <v>155</v>
      </c>
      <c r="F117" s="13">
        <f>155/371</f>
        <v>0.41778975741239893</v>
      </c>
      <c r="G117" s="14" t="s">
        <v>17</v>
      </c>
      <c r="H117" s="12">
        <v>81</v>
      </c>
      <c r="I117" s="13">
        <f>81/368</f>
        <v>0.22010869565217392</v>
      </c>
      <c r="J117" s="14" t="s">
        <v>18</v>
      </c>
      <c r="K117" s="12">
        <v>-74</v>
      </c>
      <c r="L117" s="15">
        <f t="shared" si="1"/>
        <v>-0.19768106176022501</v>
      </c>
      <c r="M117" s="12">
        <v>143</v>
      </c>
      <c r="N117" s="12">
        <v>368</v>
      </c>
    </row>
    <row r="118" spans="1:14" ht="19.95" customHeight="1" x14ac:dyDescent="0.3">
      <c r="A118" s="2">
        <v>117</v>
      </c>
      <c r="B118" s="3" t="s">
        <v>160</v>
      </c>
      <c r="C118" s="3" t="s">
        <v>161</v>
      </c>
      <c r="D118" s="18" t="s">
        <v>347</v>
      </c>
      <c r="E118" s="5">
        <v>138</v>
      </c>
      <c r="F118" s="6">
        <f>138/313</f>
        <v>0.44089456869009586</v>
      </c>
      <c r="G118" s="7" t="s">
        <v>17</v>
      </c>
      <c r="H118" s="5">
        <v>96</v>
      </c>
      <c r="I118" s="6">
        <f>96/280</f>
        <v>0.34285714285714286</v>
      </c>
      <c r="J118" s="7" t="s">
        <v>18</v>
      </c>
      <c r="K118" s="5">
        <v>-42</v>
      </c>
      <c r="L118" s="8">
        <f t="shared" si="1"/>
        <v>-9.8037425832952996E-2</v>
      </c>
      <c r="M118" s="5">
        <v>2</v>
      </c>
      <c r="N118" s="5">
        <v>280</v>
      </c>
    </row>
    <row r="119" spans="1:14" ht="19.95" customHeight="1" x14ac:dyDescent="0.3">
      <c r="A119" s="9">
        <v>118</v>
      </c>
      <c r="B119" s="10" t="s">
        <v>162</v>
      </c>
      <c r="C119" s="10" t="s">
        <v>163</v>
      </c>
      <c r="D119" s="11" t="s">
        <v>21</v>
      </c>
      <c r="E119" s="12">
        <v>297</v>
      </c>
      <c r="F119" s="13">
        <f>297/643</f>
        <v>0.46189735614307931</v>
      </c>
      <c r="G119" s="14" t="s">
        <v>17</v>
      </c>
      <c r="H119" s="12">
        <v>258</v>
      </c>
      <c r="I119" s="13">
        <f>258/557</f>
        <v>0.46319569120287252</v>
      </c>
      <c r="J119" s="14" t="s">
        <v>17</v>
      </c>
      <c r="K119" s="12">
        <v>-39</v>
      </c>
      <c r="L119" s="15">
        <f t="shared" si="1"/>
        <v>1.2983350597932097E-3</v>
      </c>
      <c r="M119" s="12">
        <v>117</v>
      </c>
      <c r="N119" s="12">
        <v>557</v>
      </c>
    </row>
    <row r="120" spans="1:14" ht="19.95" customHeight="1" x14ac:dyDescent="0.3">
      <c r="A120" s="2">
        <v>119</v>
      </c>
      <c r="B120" s="3" t="s">
        <v>164</v>
      </c>
      <c r="C120" s="3" t="s">
        <v>165</v>
      </c>
      <c r="D120" s="16" t="s">
        <v>26</v>
      </c>
      <c r="E120" s="5">
        <v>149</v>
      </c>
      <c r="F120" s="6">
        <f>149/580</f>
        <v>0.25689655172413794</v>
      </c>
      <c r="G120" s="7" t="s">
        <v>18</v>
      </c>
      <c r="H120" s="5">
        <v>133</v>
      </c>
      <c r="I120" s="6">
        <f>133/542</f>
        <v>0.24538745387453875</v>
      </c>
      <c r="J120" s="7" t="s">
        <v>18</v>
      </c>
      <c r="K120" s="5">
        <v>-16</v>
      </c>
      <c r="L120" s="8">
        <f t="shared" si="1"/>
        <v>-1.1509097849599192E-2</v>
      </c>
      <c r="M120" s="5">
        <v>141</v>
      </c>
      <c r="N120" s="5">
        <v>542</v>
      </c>
    </row>
    <row r="121" spans="1:14" ht="19.95" customHeight="1" x14ac:dyDescent="0.3">
      <c r="A121" s="9">
        <v>120</v>
      </c>
      <c r="B121" s="10" t="s">
        <v>164</v>
      </c>
      <c r="C121" s="10" t="s">
        <v>165</v>
      </c>
      <c r="D121" s="18" t="s">
        <v>347</v>
      </c>
      <c r="E121" s="12">
        <v>179</v>
      </c>
      <c r="F121" s="13">
        <f>179/559</f>
        <v>0.32021466905187834</v>
      </c>
      <c r="G121" s="14" t="s">
        <v>17</v>
      </c>
      <c r="H121" s="12">
        <v>156</v>
      </c>
      <c r="I121" s="13">
        <f>156/494</f>
        <v>0.31578947368421051</v>
      </c>
      <c r="J121" s="14" t="s">
        <v>18</v>
      </c>
      <c r="K121" s="12">
        <v>-23</v>
      </c>
      <c r="L121" s="15">
        <f t="shared" si="1"/>
        <v>-4.4251953676678335E-3</v>
      </c>
      <c r="M121" s="12">
        <v>82</v>
      </c>
      <c r="N121" s="12">
        <v>494</v>
      </c>
    </row>
    <row r="122" spans="1:14" ht="19.95" customHeight="1" x14ac:dyDescent="0.3">
      <c r="A122" s="2">
        <v>121</v>
      </c>
      <c r="B122" s="3" t="s">
        <v>166</v>
      </c>
      <c r="C122" s="3" t="s">
        <v>167</v>
      </c>
      <c r="D122" s="18" t="s">
        <v>65</v>
      </c>
      <c r="E122" s="5">
        <v>168</v>
      </c>
      <c r="F122" s="6">
        <f>168/318</f>
        <v>0.52830188679245282</v>
      </c>
      <c r="G122" s="7" t="s">
        <v>17</v>
      </c>
      <c r="H122" s="5">
        <v>53</v>
      </c>
      <c r="I122" s="6">
        <f>53/322</f>
        <v>0.16459627329192547</v>
      </c>
      <c r="J122" s="7" t="s">
        <v>66</v>
      </c>
      <c r="K122" s="5">
        <v>-115</v>
      </c>
      <c r="L122" s="8">
        <f t="shared" si="1"/>
        <v>-0.36370561350052732</v>
      </c>
      <c r="M122" s="5">
        <v>92</v>
      </c>
      <c r="N122" s="5">
        <v>322</v>
      </c>
    </row>
    <row r="123" spans="1:14" ht="19.95" customHeight="1" x14ac:dyDescent="0.3">
      <c r="A123" s="9">
        <v>122</v>
      </c>
      <c r="B123" s="10" t="s">
        <v>168</v>
      </c>
      <c r="C123" s="10" t="s">
        <v>169</v>
      </c>
      <c r="D123" s="11" t="s">
        <v>21</v>
      </c>
      <c r="E123" s="12">
        <v>238</v>
      </c>
      <c r="F123" s="13">
        <f>238/636</f>
        <v>0.37421383647798739</v>
      </c>
      <c r="G123" s="14" t="s">
        <v>17</v>
      </c>
      <c r="H123" s="12">
        <v>242</v>
      </c>
      <c r="I123" s="13">
        <f>242/521</f>
        <v>0.46449136276391556</v>
      </c>
      <c r="J123" s="14" t="s">
        <v>17</v>
      </c>
      <c r="K123" s="12">
        <v>4</v>
      </c>
      <c r="L123" s="15">
        <f t="shared" si="1"/>
        <v>9.0277526285928167E-2</v>
      </c>
      <c r="M123" s="12">
        <v>82</v>
      </c>
      <c r="N123" s="12">
        <v>521</v>
      </c>
    </row>
    <row r="124" spans="1:14" ht="19.95" customHeight="1" x14ac:dyDescent="0.3">
      <c r="A124" s="2">
        <v>123</v>
      </c>
      <c r="B124" s="3" t="s">
        <v>168</v>
      </c>
      <c r="C124" s="3" t="s">
        <v>169</v>
      </c>
      <c r="D124" s="18" t="s">
        <v>347</v>
      </c>
      <c r="E124" s="5">
        <v>174</v>
      </c>
      <c r="F124" s="6">
        <f>174/333</f>
        <v>0.52252252252252251</v>
      </c>
      <c r="G124" s="7" t="s">
        <v>17</v>
      </c>
      <c r="H124" s="5">
        <v>121</v>
      </c>
      <c r="I124" s="6">
        <f>121/340</f>
        <v>0.35588235294117648</v>
      </c>
      <c r="J124" s="7" t="s">
        <v>18</v>
      </c>
      <c r="K124" s="5">
        <v>-53</v>
      </c>
      <c r="L124" s="8">
        <f t="shared" si="1"/>
        <v>-0.16664016958134603</v>
      </c>
      <c r="M124" s="5">
        <v>29</v>
      </c>
      <c r="N124" s="5">
        <v>340</v>
      </c>
    </row>
    <row r="125" spans="1:14" ht="19.95" customHeight="1" x14ac:dyDescent="0.3">
      <c r="A125" s="9">
        <v>124</v>
      </c>
      <c r="B125" s="10" t="s">
        <v>170</v>
      </c>
      <c r="C125" s="10" t="s">
        <v>171</v>
      </c>
      <c r="D125" s="18" t="s">
        <v>65</v>
      </c>
      <c r="E125" s="12">
        <v>122</v>
      </c>
      <c r="F125" s="13">
        <f>122/271</f>
        <v>0.45018450184501846</v>
      </c>
      <c r="G125" s="14" t="s">
        <v>17</v>
      </c>
      <c r="H125" s="12">
        <v>69</v>
      </c>
      <c r="I125" s="13">
        <f>69/268</f>
        <v>0.2574626865671642</v>
      </c>
      <c r="J125" s="14" t="s">
        <v>66</v>
      </c>
      <c r="K125" s="12">
        <v>-53</v>
      </c>
      <c r="L125" s="15">
        <f t="shared" si="1"/>
        <v>-0.19272181527785426</v>
      </c>
      <c r="M125" s="12">
        <v>46</v>
      </c>
      <c r="N125" s="12">
        <v>268</v>
      </c>
    </row>
    <row r="126" spans="1:14" ht="19.95" customHeight="1" x14ac:dyDescent="0.3">
      <c r="A126" s="2">
        <v>125</v>
      </c>
      <c r="B126" s="3" t="s">
        <v>172</v>
      </c>
      <c r="C126" s="3" t="s">
        <v>173</v>
      </c>
      <c r="D126" s="18" t="s">
        <v>347</v>
      </c>
      <c r="E126" s="5">
        <v>225</v>
      </c>
      <c r="F126" s="6">
        <f>225/474</f>
        <v>0.47468354430379744</v>
      </c>
      <c r="G126" s="7" t="s">
        <v>17</v>
      </c>
      <c r="H126" s="5">
        <v>162</v>
      </c>
      <c r="I126" s="6">
        <f>162/451</f>
        <v>0.35920177383592017</v>
      </c>
      <c r="J126" s="7" t="s">
        <v>18</v>
      </c>
      <c r="K126" s="5">
        <v>-63</v>
      </c>
      <c r="L126" s="8">
        <f t="shared" si="1"/>
        <v>-0.11548177046787728</v>
      </c>
      <c r="M126" s="5">
        <v>2</v>
      </c>
      <c r="N126" s="5">
        <v>451</v>
      </c>
    </row>
    <row r="127" spans="1:14" ht="19.95" customHeight="1" x14ac:dyDescent="0.3">
      <c r="A127" s="9">
        <v>126</v>
      </c>
      <c r="B127" s="10" t="s">
        <v>174</v>
      </c>
      <c r="C127" s="10" t="s">
        <v>175</v>
      </c>
      <c r="D127" s="16" t="s">
        <v>26</v>
      </c>
      <c r="E127" s="12">
        <v>168</v>
      </c>
      <c r="F127" s="13">
        <f>168/705</f>
        <v>0.23829787234042554</v>
      </c>
      <c r="G127" s="14" t="s">
        <v>27</v>
      </c>
      <c r="H127" s="12">
        <v>163</v>
      </c>
      <c r="I127" s="13">
        <f>163/642</f>
        <v>0.25389408099688471</v>
      </c>
      <c r="J127" s="14" t="s">
        <v>18</v>
      </c>
      <c r="K127" s="12">
        <v>-5</v>
      </c>
      <c r="L127" s="15">
        <f t="shared" si="1"/>
        <v>1.5596208656459165E-2</v>
      </c>
      <c r="M127" s="12">
        <v>225</v>
      </c>
      <c r="N127" s="12">
        <v>642</v>
      </c>
    </row>
    <row r="128" spans="1:14" ht="19.95" customHeight="1" x14ac:dyDescent="0.3">
      <c r="A128" s="2">
        <v>127</v>
      </c>
      <c r="B128" s="3" t="s">
        <v>176</v>
      </c>
      <c r="C128" s="3" t="s">
        <v>177</v>
      </c>
      <c r="D128" s="11" t="s">
        <v>21</v>
      </c>
      <c r="E128" s="5">
        <v>301</v>
      </c>
      <c r="F128" s="6">
        <f>301/754</f>
        <v>0.39920424403183025</v>
      </c>
      <c r="G128" s="7" t="s">
        <v>17</v>
      </c>
      <c r="H128" s="5">
        <v>298</v>
      </c>
      <c r="I128" s="6">
        <f>298/706</f>
        <v>0.42209631728045327</v>
      </c>
      <c r="J128" s="7" t="s">
        <v>17</v>
      </c>
      <c r="K128" s="5">
        <v>-3</v>
      </c>
      <c r="L128" s="8">
        <f t="shared" si="1"/>
        <v>2.2892073248623024E-2</v>
      </c>
      <c r="M128" s="5">
        <v>98</v>
      </c>
      <c r="N128" s="5">
        <v>706</v>
      </c>
    </row>
    <row r="129" spans="1:14" ht="19.95" customHeight="1" x14ac:dyDescent="0.3">
      <c r="A129" s="9">
        <v>128</v>
      </c>
      <c r="B129" s="10" t="s">
        <v>178</v>
      </c>
      <c r="C129" s="10" t="s">
        <v>179</v>
      </c>
      <c r="D129" s="11" t="s">
        <v>21</v>
      </c>
      <c r="E129" s="12">
        <v>171</v>
      </c>
      <c r="F129" s="13">
        <f>171/389</f>
        <v>0.43958868894601544</v>
      </c>
      <c r="G129" s="14" t="s">
        <v>17</v>
      </c>
      <c r="H129" s="12">
        <v>165</v>
      </c>
      <c r="I129" s="13">
        <f>165/371</f>
        <v>0.44474393530997303</v>
      </c>
      <c r="J129" s="14" t="s">
        <v>17</v>
      </c>
      <c r="K129" s="12">
        <v>-6</v>
      </c>
      <c r="L129" s="15">
        <f t="shared" si="1"/>
        <v>5.1552463639575885E-3</v>
      </c>
      <c r="M129" s="12">
        <v>44</v>
      </c>
      <c r="N129" s="12">
        <v>371</v>
      </c>
    </row>
    <row r="130" spans="1:14" ht="19.95" customHeight="1" x14ac:dyDescent="0.3">
      <c r="A130" s="2">
        <v>129</v>
      </c>
      <c r="B130" s="3" t="s">
        <v>180</v>
      </c>
      <c r="C130" s="3" t="s">
        <v>181</v>
      </c>
      <c r="D130" s="18" t="s">
        <v>347</v>
      </c>
      <c r="E130" s="5">
        <v>160</v>
      </c>
      <c r="F130" s="6">
        <f>160/343</f>
        <v>0.46647230320699706</v>
      </c>
      <c r="G130" s="7" t="s">
        <v>17</v>
      </c>
      <c r="H130" s="5">
        <v>137</v>
      </c>
      <c r="I130" s="6">
        <f>137/347</f>
        <v>0.39481268011527376</v>
      </c>
      <c r="J130" s="7" t="s">
        <v>18</v>
      </c>
      <c r="K130" s="5">
        <v>-23</v>
      </c>
      <c r="L130" s="8">
        <f t="shared" ref="L130:L193" si="2">I130-F130</f>
        <v>-7.1659623091723301E-2</v>
      </c>
      <c r="M130" s="5">
        <v>34</v>
      </c>
      <c r="N130" s="5">
        <v>347</v>
      </c>
    </row>
    <row r="131" spans="1:14" ht="19.95" customHeight="1" x14ac:dyDescent="0.3">
      <c r="A131" s="9">
        <v>130</v>
      </c>
      <c r="B131" s="10" t="s">
        <v>182</v>
      </c>
      <c r="C131" s="10" t="s">
        <v>183</v>
      </c>
      <c r="D131" s="16" t="s">
        <v>26</v>
      </c>
      <c r="E131" s="12">
        <v>147</v>
      </c>
      <c r="F131" s="13">
        <f>147/524</f>
        <v>0.28053435114503816</v>
      </c>
      <c r="G131" s="14" t="s">
        <v>18</v>
      </c>
      <c r="H131" s="12">
        <v>142</v>
      </c>
      <c r="I131" s="13">
        <f>142/478</f>
        <v>0.29707112970711297</v>
      </c>
      <c r="J131" s="14" t="s">
        <v>18</v>
      </c>
      <c r="K131" s="12">
        <v>-5</v>
      </c>
      <c r="L131" s="15">
        <f t="shared" si="2"/>
        <v>1.6536778562074805E-2</v>
      </c>
      <c r="M131" s="12">
        <v>104</v>
      </c>
      <c r="N131" s="12">
        <v>478</v>
      </c>
    </row>
    <row r="132" spans="1:14" ht="19.95" customHeight="1" x14ac:dyDescent="0.3">
      <c r="A132" s="2">
        <v>131</v>
      </c>
      <c r="B132" s="3" t="s">
        <v>184</v>
      </c>
      <c r="C132" s="3" t="s">
        <v>185</v>
      </c>
      <c r="D132" s="18" t="s">
        <v>347</v>
      </c>
      <c r="E132" s="5">
        <v>214</v>
      </c>
      <c r="F132" s="6">
        <f>214/668</f>
        <v>0.32035928143712578</v>
      </c>
      <c r="G132" s="7" t="s">
        <v>17</v>
      </c>
      <c r="H132" s="5">
        <v>182</v>
      </c>
      <c r="I132" s="6">
        <f>182/578</f>
        <v>0.31487889273356401</v>
      </c>
      <c r="J132" s="7" t="s">
        <v>18</v>
      </c>
      <c r="K132" s="5">
        <v>-32</v>
      </c>
      <c r="L132" s="8">
        <f t="shared" si="2"/>
        <v>-5.4803887035617671E-3</v>
      </c>
      <c r="M132" s="5">
        <v>22</v>
      </c>
      <c r="N132" s="5">
        <v>578</v>
      </c>
    </row>
    <row r="133" spans="1:14" ht="19.95" customHeight="1" x14ac:dyDescent="0.3">
      <c r="A133" s="9">
        <v>132</v>
      </c>
      <c r="B133" s="10" t="s">
        <v>186</v>
      </c>
      <c r="C133" s="10" t="s">
        <v>187</v>
      </c>
      <c r="D133" s="11" t="s">
        <v>21</v>
      </c>
      <c r="E133" s="12">
        <v>285</v>
      </c>
      <c r="F133" s="13">
        <f>285/446</f>
        <v>0.63901345291479816</v>
      </c>
      <c r="G133" s="14" t="s">
        <v>17</v>
      </c>
      <c r="H133" s="12">
        <v>325</v>
      </c>
      <c r="I133" s="13">
        <f>325/408</f>
        <v>0.79656862745098034</v>
      </c>
      <c r="J133" s="14" t="s">
        <v>17</v>
      </c>
      <c r="K133" s="12">
        <v>40</v>
      </c>
      <c r="L133" s="15">
        <f t="shared" si="2"/>
        <v>0.15755517453618217</v>
      </c>
      <c r="M133" s="12">
        <v>294</v>
      </c>
      <c r="N133" s="12">
        <v>408</v>
      </c>
    </row>
    <row r="134" spans="1:14" ht="19.95" customHeight="1" x14ac:dyDescent="0.3">
      <c r="A134" s="2">
        <v>133</v>
      </c>
      <c r="B134" s="3" t="s">
        <v>188</v>
      </c>
      <c r="C134" s="3" t="s">
        <v>189</v>
      </c>
      <c r="D134" s="4" t="s">
        <v>16</v>
      </c>
      <c r="E134" s="5">
        <v>193</v>
      </c>
      <c r="F134" s="6">
        <f>193/560</f>
        <v>0.34464285714285714</v>
      </c>
      <c r="G134" s="7" t="s">
        <v>18</v>
      </c>
      <c r="H134" s="5">
        <v>219</v>
      </c>
      <c r="I134" s="6">
        <f>219/550</f>
        <v>0.39818181818181819</v>
      </c>
      <c r="J134" s="7" t="s">
        <v>17</v>
      </c>
      <c r="K134" s="5">
        <v>26</v>
      </c>
      <c r="L134" s="8">
        <f t="shared" si="2"/>
        <v>5.3538961038961053E-2</v>
      </c>
      <c r="M134" s="5">
        <v>59</v>
      </c>
      <c r="N134" s="5">
        <v>550</v>
      </c>
    </row>
    <row r="135" spans="1:14" ht="19.95" customHeight="1" x14ac:dyDescent="0.3">
      <c r="A135" s="9">
        <v>134</v>
      </c>
      <c r="B135" s="10" t="s">
        <v>188</v>
      </c>
      <c r="C135" s="10" t="s">
        <v>189</v>
      </c>
      <c r="D135" s="11" t="s">
        <v>21</v>
      </c>
      <c r="E135" s="12">
        <v>180</v>
      </c>
      <c r="F135" s="13">
        <f>180/488</f>
        <v>0.36885245901639346</v>
      </c>
      <c r="G135" s="14" t="s">
        <v>17</v>
      </c>
      <c r="H135" s="12">
        <v>209</v>
      </c>
      <c r="I135" s="13">
        <f>209/443</f>
        <v>0.47178329571106092</v>
      </c>
      <c r="J135" s="14" t="s">
        <v>17</v>
      </c>
      <c r="K135" s="12">
        <v>29</v>
      </c>
      <c r="L135" s="15">
        <f t="shared" si="2"/>
        <v>0.10293083669466746</v>
      </c>
      <c r="M135" s="12">
        <v>105</v>
      </c>
      <c r="N135" s="12">
        <v>443</v>
      </c>
    </row>
    <row r="136" spans="1:14" ht="19.95" customHeight="1" x14ac:dyDescent="0.3">
      <c r="A136" s="2">
        <v>135</v>
      </c>
      <c r="B136" s="3" t="s">
        <v>190</v>
      </c>
      <c r="C136" s="3" t="s">
        <v>191</v>
      </c>
      <c r="D136" s="18" t="s">
        <v>347</v>
      </c>
      <c r="E136" s="5">
        <v>238</v>
      </c>
      <c r="F136" s="6">
        <f>238/585</f>
        <v>0.40683760683760684</v>
      </c>
      <c r="G136" s="7" t="s">
        <v>17</v>
      </c>
      <c r="H136" s="5">
        <v>131</v>
      </c>
      <c r="I136" s="6">
        <f>131/539</f>
        <v>0.24304267161410018</v>
      </c>
      <c r="J136" s="7" t="s">
        <v>18</v>
      </c>
      <c r="K136" s="5">
        <v>-107</v>
      </c>
      <c r="L136" s="8">
        <f t="shared" si="2"/>
        <v>-0.16379493522350666</v>
      </c>
      <c r="M136" s="5">
        <v>87</v>
      </c>
      <c r="N136" s="5">
        <v>539</v>
      </c>
    </row>
    <row r="137" spans="1:14" ht="19.95" customHeight="1" x14ac:dyDescent="0.3">
      <c r="A137" s="9">
        <v>136</v>
      </c>
      <c r="B137" s="10" t="s">
        <v>192</v>
      </c>
      <c r="C137" s="10" t="s">
        <v>193</v>
      </c>
      <c r="D137" s="11" t="s">
        <v>21</v>
      </c>
      <c r="E137" s="12">
        <v>278</v>
      </c>
      <c r="F137" s="13">
        <f>278/483</f>
        <v>0.57556935817805388</v>
      </c>
      <c r="G137" s="14" t="s">
        <v>17</v>
      </c>
      <c r="H137" s="12">
        <v>236</v>
      </c>
      <c r="I137" s="13">
        <f>236/471</f>
        <v>0.50106157112526539</v>
      </c>
      <c r="J137" s="14" t="s">
        <v>17</v>
      </c>
      <c r="K137" s="12">
        <v>-42</v>
      </c>
      <c r="L137" s="15">
        <f t="shared" si="2"/>
        <v>-7.4507787052788488E-2</v>
      </c>
      <c r="M137" s="12">
        <v>61</v>
      </c>
      <c r="N137" s="12">
        <v>471</v>
      </c>
    </row>
    <row r="138" spans="1:14" ht="19.95" customHeight="1" x14ac:dyDescent="0.3">
      <c r="A138" s="2">
        <v>137</v>
      </c>
      <c r="B138" s="3" t="s">
        <v>194</v>
      </c>
      <c r="C138" s="3" t="s">
        <v>195</v>
      </c>
      <c r="D138" s="11" t="s">
        <v>21</v>
      </c>
      <c r="E138" s="5">
        <v>238</v>
      </c>
      <c r="F138" s="6">
        <f>238/544</f>
        <v>0.4375</v>
      </c>
      <c r="G138" s="7" t="s">
        <v>17</v>
      </c>
      <c r="H138" s="5">
        <v>162</v>
      </c>
      <c r="I138" s="6">
        <f>162/463</f>
        <v>0.34989200863930886</v>
      </c>
      <c r="J138" s="7" t="s">
        <v>17</v>
      </c>
      <c r="K138" s="5">
        <v>-76</v>
      </c>
      <c r="L138" s="8">
        <f t="shared" si="2"/>
        <v>-8.760799136069114E-2</v>
      </c>
      <c r="M138" s="5">
        <v>28</v>
      </c>
      <c r="N138" s="5">
        <v>463</v>
      </c>
    </row>
    <row r="139" spans="1:14" ht="19.95" customHeight="1" x14ac:dyDescent="0.3">
      <c r="A139" s="9">
        <v>138</v>
      </c>
      <c r="B139" s="10" t="s">
        <v>196</v>
      </c>
      <c r="C139" s="10" t="s">
        <v>197</v>
      </c>
      <c r="D139" s="18" t="s">
        <v>347</v>
      </c>
      <c r="E139" s="12">
        <v>266</v>
      </c>
      <c r="F139" s="13">
        <f>266/746</f>
        <v>0.35656836461126007</v>
      </c>
      <c r="G139" s="14" t="s">
        <v>17</v>
      </c>
      <c r="H139" s="12">
        <v>274</v>
      </c>
      <c r="I139" s="13">
        <f>274/714</f>
        <v>0.38375350140056025</v>
      </c>
      <c r="J139" s="14" t="s">
        <v>18</v>
      </c>
      <c r="K139" s="12">
        <v>8</v>
      </c>
      <c r="L139" s="15">
        <f t="shared" si="2"/>
        <v>2.7185136789300179E-2</v>
      </c>
      <c r="M139" s="12">
        <v>24</v>
      </c>
      <c r="N139" s="12">
        <v>714</v>
      </c>
    </row>
    <row r="140" spans="1:14" ht="19.95" customHeight="1" x14ac:dyDescent="0.3">
      <c r="A140" s="2">
        <v>139</v>
      </c>
      <c r="B140" s="3" t="s">
        <v>198</v>
      </c>
      <c r="C140" s="3" t="s">
        <v>199</v>
      </c>
      <c r="D140" s="4" t="s">
        <v>16</v>
      </c>
      <c r="E140" s="5">
        <v>141</v>
      </c>
      <c r="F140" s="6">
        <f>141/513</f>
        <v>0.27485380116959063</v>
      </c>
      <c r="G140" s="7" t="s">
        <v>27</v>
      </c>
      <c r="H140" s="5">
        <v>150</v>
      </c>
      <c r="I140" s="6">
        <f>150/399</f>
        <v>0.37593984962406013</v>
      </c>
      <c r="J140" s="7" t="s">
        <v>17</v>
      </c>
      <c r="K140" s="5">
        <v>9</v>
      </c>
      <c r="L140" s="8">
        <f t="shared" si="2"/>
        <v>0.1010860484544695</v>
      </c>
      <c r="M140" s="5">
        <v>32</v>
      </c>
      <c r="N140" s="5">
        <v>399</v>
      </c>
    </row>
    <row r="141" spans="1:14" ht="19.95" customHeight="1" x14ac:dyDescent="0.3">
      <c r="A141" s="9">
        <v>140</v>
      </c>
      <c r="B141" s="10" t="s">
        <v>200</v>
      </c>
      <c r="C141" s="10" t="s">
        <v>201</v>
      </c>
      <c r="D141" s="11" t="s">
        <v>21</v>
      </c>
      <c r="E141" s="12">
        <v>256</v>
      </c>
      <c r="F141" s="13">
        <f>256/605</f>
        <v>0.42314049586776858</v>
      </c>
      <c r="G141" s="14" t="s">
        <v>17</v>
      </c>
      <c r="H141" s="12">
        <v>250</v>
      </c>
      <c r="I141" s="13">
        <f>250/580</f>
        <v>0.43103448275862066</v>
      </c>
      <c r="J141" s="14" t="s">
        <v>17</v>
      </c>
      <c r="K141" s="12">
        <v>-6</v>
      </c>
      <c r="L141" s="15">
        <f t="shared" si="2"/>
        <v>7.8939868908520783E-3</v>
      </c>
      <c r="M141" s="12">
        <v>122</v>
      </c>
      <c r="N141" s="12">
        <v>580</v>
      </c>
    </row>
    <row r="142" spans="1:14" ht="19.95" customHeight="1" x14ac:dyDescent="0.3">
      <c r="A142" s="2">
        <v>141</v>
      </c>
      <c r="B142" s="3" t="s">
        <v>200</v>
      </c>
      <c r="C142" s="3" t="s">
        <v>201</v>
      </c>
      <c r="D142" s="11" t="s">
        <v>21</v>
      </c>
      <c r="E142" s="5">
        <v>221</v>
      </c>
      <c r="F142" s="6">
        <f>221/594</f>
        <v>0.37205387205387208</v>
      </c>
      <c r="G142" s="7" t="s">
        <v>17</v>
      </c>
      <c r="H142" s="5">
        <v>188</v>
      </c>
      <c r="I142" s="6">
        <f>188/548</f>
        <v>0.34306569343065696</v>
      </c>
      <c r="J142" s="7" t="s">
        <v>17</v>
      </c>
      <c r="K142" s="5">
        <v>-33</v>
      </c>
      <c r="L142" s="8">
        <f t="shared" si="2"/>
        <v>-2.8988178623215122E-2</v>
      </c>
      <c r="M142" s="5">
        <v>13</v>
      </c>
      <c r="N142" s="5">
        <v>548</v>
      </c>
    </row>
    <row r="143" spans="1:14" ht="19.95" customHeight="1" x14ac:dyDescent="0.3">
      <c r="A143" s="9">
        <v>142</v>
      </c>
      <c r="B143" s="10" t="s">
        <v>202</v>
      </c>
      <c r="C143" s="10" t="s">
        <v>203</v>
      </c>
      <c r="D143" s="16" t="s">
        <v>26</v>
      </c>
      <c r="E143" s="12">
        <v>180</v>
      </c>
      <c r="F143" s="13">
        <f>180/703</f>
        <v>0.25604551920341395</v>
      </c>
      <c r="G143" s="14" t="s">
        <v>27</v>
      </c>
      <c r="H143" s="12">
        <v>132</v>
      </c>
      <c r="I143" s="13">
        <f>132/628</f>
        <v>0.21019108280254778</v>
      </c>
      <c r="J143" s="14" t="s">
        <v>18</v>
      </c>
      <c r="K143" s="12">
        <v>-48</v>
      </c>
      <c r="L143" s="15">
        <f t="shared" si="2"/>
        <v>-4.5854436400866172E-2</v>
      </c>
      <c r="M143" s="12">
        <v>120</v>
      </c>
      <c r="N143" s="12">
        <v>628</v>
      </c>
    </row>
    <row r="144" spans="1:14" ht="19.95" customHeight="1" x14ac:dyDescent="0.3">
      <c r="A144" s="2">
        <v>143</v>
      </c>
      <c r="B144" s="3" t="s">
        <v>204</v>
      </c>
      <c r="C144" s="3" t="s">
        <v>205</v>
      </c>
      <c r="D144" s="17" t="s">
        <v>36</v>
      </c>
      <c r="E144" s="5">
        <v>138</v>
      </c>
      <c r="F144" s="6">
        <f>138/471</f>
        <v>0.2929936305732484</v>
      </c>
      <c r="G144" s="7" t="s">
        <v>27</v>
      </c>
      <c r="H144" s="5">
        <v>80</v>
      </c>
      <c r="I144" s="6">
        <f>80/443</f>
        <v>0.18058690744920994</v>
      </c>
      <c r="J144" s="7" t="s">
        <v>66</v>
      </c>
      <c r="K144" s="5">
        <v>-58</v>
      </c>
      <c r="L144" s="8">
        <f t="shared" si="2"/>
        <v>-0.11240672312403846</v>
      </c>
      <c r="M144" s="5">
        <v>47</v>
      </c>
      <c r="N144" s="5">
        <v>443</v>
      </c>
    </row>
    <row r="145" spans="1:14" ht="19.95" customHeight="1" x14ac:dyDescent="0.3">
      <c r="A145" s="9">
        <v>144</v>
      </c>
      <c r="B145" s="10" t="s">
        <v>206</v>
      </c>
      <c r="C145" s="10" t="s">
        <v>207</v>
      </c>
      <c r="D145" s="18" t="s">
        <v>347</v>
      </c>
      <c r="E145" s="12">
        <v>496</v>
      </c>
      <c r="F145" s="13">
        <f>496/825</f>
        <v>0.6012121212121212</v>
      </c>
      <c r="G145" s="14" t="s">
        <v>17</v>
      </c>
      <c r="H145" s="12">
        <v>78</v>
      </c>
      <c r="I145" s="13">
        <f>78/815</f>
        <v>9.5705521472392641E-2</v>
      </c>
      <c r="J145" s="14" t="s">
        <v>18</v>
      </c>
      <c r="K145" s="12">
        <v>-418</v>
      </c>
      <c r="L145" s="15">
        <f t="shared" si="2"/>
        <v>-0.50550659973972856</v>
      </c>
      <c r="M145" s="12">
        <v>622</v>
      </c>
      <c r="N145" s="12">
        <v>815</v>
      </c>
    </row>
    <row r="146" spans="1:14" ht="19.95" customHeight="1" x14ac:dyDescent="0.3">
      <c r="A146" s="2">
        <v>145</v>
      </c>
      <c r="B146" s="3" t="s">
        <v>208</v>
      </c>
      <c r="C146" s="3" t="s">
        <v>209</v>
      </c>
      <c r="D146" s="17" t="s">
        <v>36</v>
      </c>
      <c r="E146" s="5">
        <v>169</v>
      </c>
      <c r="F146" s="6">
        <f>169/663</f>
        <v>0.25490196078431371</v>
      </c>
      <c r="G146" s="7" t="s">
        <v>18</v>
      </c>
      <c r="H146" s="5">
        <v>96</v>
      </c>
      <c r="I146" s="6">
        <f>96/551</f>
        <v>0.17422867513611615</v>
      </c>
      <c r="J146" s="7" t="s">
        <v>18</v>
      </c>
      <c r="K146" s="5">
        <v>-73</v>
      </c>
      <c r="L146" s="8">
        <f t="shared" si="2"/>
        <v>-8.0673285648197562E-2</v>
      </c>
      <c r="M146" s="5">
        <v>102</v>
      </c>
      <c r="N146" s="5">
        <v>551</v>
      </c>
    </row>
    <row r="147" spans="1:14" ht="19.95" customHeight="1" x14ac:dyDescent="0.3">
      <c r="A147" s="9">
        <v>146</v>
      </c>
      <c r="B147" s="10" t="s">
        <v>210</v>
      </c>
      <c r="C147" s="10" t="s">
        <v>211</v>
      </c>
      <c r="D147" s="17" t="s">
        <v>36</v>
      </c>
      <c r="E147" s="12">
        <v>110</v>
      </c>
      <c r="F147" s="13">
        <f>110/414</f>
        <v>0.26570048309178745</v>
      </c>
      <c r="G147" s="14" t="s">
        <v>18</v>
      </c>
      <c r="H147" s="12">
        <v>71</v>
      </c>
      <c r="I147" s="13">
        <f>71/366</f>
        <v>0.19398907103825136</v>
      </c>
      <c r="J147" s="14" t="s">
        <v>66</v>
      </c>
      <c r="K147" s="12">
        <v>-39</v>
      </c>
      <c r="L147" s="15">
        <f t="shared" si="2"/>
        <v>-7.1711412053536094E-2</v>
      </c>
      <c r="M147" s="12">
        <v>22</v>
      </c>
      <c r="N147" s="12">
        <v>366</v>
      </c>
    </row>
    <row r="148" spans="1:14" ht="19.95" customHeight="1" x14ac:dyDescent="0.3">
      <c r="A148" s="2">
        <v>147</v>
      </c>
      <c r="B148" s="3" t="s">
        <v>212</v>
      </c>
      <c r="C148" s="3" t="s">
        <v>213</v>
      </c>
      <c r="D148" s="11" t="s">
        <v>21</v>
      </c>
      <c r="E148" s="5">
        <v>176</v>
      </c>
      <c r="F148" s="6">
        <f>176/434</f>
        <v>0.40552995391705071</v>
      </c>
      <c r="G148" s="7" t="s">
        <v>17</v>
      </c>
      <c r="H148" s="5">
        <v>193</v>
      </c>
      <c r="I148" s="6">
        <f>193/407</f>
        <v>0.47420147420147418</v>
      </c>
      <c r="J148" s="7" t="s">
        <v>17</v>
      </c>
      <c r="K148" s="5">
        <v>17</v>
      </c>
      <c r="L148" s="8">
        <f t="shared" si="2"/>
        <v>6.8671520284423471E-2</v>
      </c>
      <c r="M148" s="5">
        <v>100</v>
      </c>
      <c r="N148" s="5">
        <v>407</v>
      </c>
    </row>
    <row r="149" spans="1:14" ht="19.95" customHeight="1" x14ac:dyDescent="0.3">
      <c r="A149" s="9">
        <v>148</v>
      </c>
      <c r="B149" s="10" t="s">
        <v>212</v>
      </c>
      <c r="C149" s="10" t="s">
        <v>213</v>
      </c>
      <c r="D149" s="11" t="s">
        <v>21</v>
      </c>
      <c r="E149" s="12">
        <v>185</v>
      </c>
      <c r="F149" s="13">
        <f>185/500</f>
        <v>0.37</v>
      </c>
      <c r="G149" s="14" t="s">
        <v>17</v>
      </c>
      <c r="H149" s="12">
        <v>185</v>
      </c>
      <c r="I149" s="13">
        <f>185/445</f>
        <v>0.4157303370786517</v>
      </c>
      <c r="J149" s="14" t="s">
        <v>17</v>
      </c>
      <c r="K149" s="12">
        <v>0</v>
      </c>
      <c r="L149" s="15">
        <f t="shared" si="2"/>
        <v>4.5730337078651706E-2</v>
      </c>
      <c r="M149" s="12">
        <v>72</v>
      </c>
      <c r="N149" s="12">
        <v>445</v>
      </c>
    </row>
    <row r="150" spans="1:14" ht="19.95" customHeight="1" x14ac:dyDescent="0.3">
      <c r="A150" s="2">
        <v>149</v>
      </c>
      <c r="B150" s="3" t="s">
        <v>214</v>
      </c>
      <c r="C150" s="3" t="s">
        <v>215</v>
      </c>
      <c r="D150" s="11" t="s">
        <v>21</v>
      </c>
      <c r="E150" s="5">
        <v>346</v>
      </c>
      <c r="F150" s="6">
        <f>346/799</f>
        <v>0.4330413016270338</v>
      </c>
      <c r="G150" s="7" t="s">
        <v>17</v>
      </c>
      <c r="H150" s="5">
        <v>261</v>
      </c>
      <c r="I150" s="6">
        <f>261/717</f>
        <v>0.36401673640167365</v>
      </c>
      <c r="J150" s="7" t="s">
        <v>17</v>
      </c>
      <c r="K150" s="5">
        <v>-85</v>
      </c>
      <c r="L150" s="8">
        <f t="shared" si="2"/>
        <v>-6.9024565225360157E-2</v>
      </c>
      <c r="M150" s="5">
        <v>56</v>
      </c>
      <c r="N150" s="5">
        <v>717</v>
      </c>
    </row>
    <row r="151" spans="1:14" ht="19.95" customHeight="1" x14ac:dyDescent="0.3">
      <c r="A151" s="9">
        <v>150</v>
      </c>
      <c r="B151" s="10" t="s">
        <v>216</v>
      </c>
      <c r="C151" s="10" t="s">
        <v>217</v>
      </c>
      <c r="D151" s="18" t="s">
        <v>347</v>
      </c>
      <c r="E151" s="12">
        <v>290</v>
      </c>
      <c r="F151" s="13">
        <f>290/778</f>
        <v>0.37275064267352187</v>
      </c>
      <c r="G151" s="14" t="s">
        <v>17</v>
      </c>
      <c r="H151" s="12">
        <v>204</v>
      </c>
      <c r="I151" s="13">
        <f>204/721</f>
        <v>0.28294036061026351</v>
      </c>
      <c r="J151" s="14" t="s">
        <v>18</v>
      </c>
      <c r="K151" s="12">
        <v>-86</v>
      </c>
      <c r="L151" s="15">
        <f t="shared" si="2"/>
        <v>-8.9810282063258362E-2</v>
      </c>
      <c r="M151" s="12">
        <v>34</v>
      </c>
      <c r="N151" s="12">
        <v>721</v>
      </c>
    </row>
    <row r="152" spans="1:14" ht="19.95" customHeight="1" x14ac:dyDescent="0.3">
      <c r="A152" s="2">
        <v>151</v>
      </c>
      <c r="B152" s="3" t="s">
        <v>218</v>
      </c>
      <c r="C152" s="3" t="s">
        <v>219</v>
      </c>
      <c r="D152" s="18" t="s">
        <v>65</v>
      </c>
      <c r="E152" s="5">
        <v>346</v>
      </c>
      <c r="F152" s="6">
        <f>346/840</f>
        <v>0.41190476190476188</v>
      </c>
      <c r="G152" s="7" t="s">
        <v>17</v>
      </c>
      <c r="H152" s="5">
        <v>167</v>
      </c>
      <c r="I152" s="6">
        <f>167/726</f>
        <v>0.23002754820936638</v>
      </c>
      <c r="J152" s="7" t="s">
        <v>66</v>
      </c>
      <c r="K152" s="5">
        <v>-179</v>
      </c>
      <c r="L152" s="8">
        <f t="shared" si="2"/>
        <v>-0.1818772136953955</v>
      </c>
      <c r="M152" s="5">
        <v>53</v>
      </c>
      <c r="N152" s="5">
        <v>726</v>
      </c>
    </row>
    <row r="153" spans="1:14" ht="19.95" customHeight="1" x14ac:dyDescent="0.3">
      <c r="A153" s="9">
        <v>152</v>
      </c>
      <c r="B153" s="10" t="s">
        <v>220</v>
      </c>
      <c r="C153" s="10" t="s">
        <v>221</v>
      </c>
      <c r="D153" s="18" t="s">
        <v>65</v>
      </c>
      <c r="E153" s="12">
        <v>334</v>
      </c>
      <c r="F153" s="13">
        <f>334/796</f>
        <v>0.41959798994974873</v>
      </c>
      <c r="G153" s="14" t="s">
        <v>17</v>
      </c>
      <c r="H153" s="12">
        <v>151</v>
      </c>
      <c r="I153" s="13">
        <f>151/736</f>
        <v>0.20516304347826086</v>
      </c>
      <c r="J153" s="14" t="s">
        <v>66</v>
      </c>
      <c r="K153" s="12">
        <v>-183</v>
      </c>
      <c r="L153" s="15">
        <f t="shared" si="2"/>
        <v>-0.21443494647148786</v>
      </c>
      <c r="M153" s="12">
        <v>262</v>
      </c>
      <c r="N153" s="12">
        <v>736</v>
      </c>
    </row>
    <row r="154" spans="1:14" ht="19.95" customHeight="1" x14ac:dyDescent="0.3">
      <c r="A154" s="2">
        <v>153</v>
      </c>
      <c r="B154" s="3" t="s">
        <v>222</v>
      </c>
      <c r="C154" s="3" t="s">
        <v>223</v>
      </c>
      <c r="D154" s="18" t="s">
        <v>65</v>
      </c>
      <c r="E154" s="5">
        <v>250</v>
      </c>
      <c r="F154" s="6">
        <f>250/661</f>
        <v>0.37821482602118001</v>
      </c>
      <c r="G154" s="7" t="s">
        <v>17</v>
      </c>
      <c r="H154" s="5">
        <v>130</v>
      </c>
      <c r="I154" s="6">
        <f>130/605</f>
        <v>0.21487603305785125</v>
      </c>
      <c r="J154" s="7" t="s">
        <v>66</v>
      </c>
      <c r="K154" s="5">
        <v>-120</v>
      </c>
      <c r="L154" s="8">
        <f t="shared" si="2"/>
        <v>-0.16333879296332876</v>
      </c>
      <c r="M154" s="5">
        <v>107</v>
      </c>
      <c r="N154" s="5">
        <v>605</v>
      </c>
    </row>
    <row r="155" spans="1:14" ht="19.95" customHeight="1" x14ac:dyDescent="0.3">
      <c r="A155" s="9">
        <v>154</v>
      </c>
      <c r="B155" s="10" t="s">
        <v>224</v>
      </c>
      <c r="C155" s="10" t="s">
        <v>225</v>
      </c>
      <c r="D155" s="11" t="s">
        <v>21</v>
      </c>
      <c r="E155" s="12">
        <v>413</v>
      </c>
      <c r="F155" s="13">
        <f>413/692</f>
        <v>0.59682080924855496</v>
      </c>
      <c r="G155" s="14" t="s">
        <v>17</v>
      </c>
      <c r="H155" s="12">
        <v>290</v>
      </c>
      <c r="I155" s="13">
        <f>290/601</f>
        <v>0.48252911813643928</v>
      </c>
      <c r="J155" s="14" t="s">
        <v>17</v>
      </c>
      <c r="K155" s="12">
        <v>-123</v>
      </c>
      <c r="L155" s="15">
        <f t="shared" si="2"/>
        <v>-0.11429169111211568</v>
      </c>
      <c r="M155" s="12">
        <v>176</v>
      </c>
      <c r="N155" s="12">
        <v>601</v>
      </c>
    </row>
    <row r="156" spans="1:14" ht="19.95" customHeight="1" x14ac:dyDescent="0.3">
      <c r="A156" s="2">
        <v>155</v>
      </c>
      <c r="B156" s="3" t="s">
        <v>226</v>
      </c>
      <c r="C156" s="3" t="s">
        <v>227</v>
      </c>
      <c r="D156" s="18" t="s">
        <v>65</v>
      </c>
      <c r="E156" s="5">
        <v>379</v>
      </c>
      <c r="F156" s="6">
        <f>379/792</f>
        <v>0.47853535353535354</v>
      </c>
      <c r="G156" s="7" t="s">
        <v>17</v>
      </c>
      <c r="H156" s="5">
        <v>200</v>
      </c>
      <c r="I156" s="6">
        <f>200/722</f>
        <v>0.2770083102493075</v>
      </c>
      <c r="J156" s="7" t="s">
        <v>66</v>
      </c>
      <c r="K156" s="5">
        <v>-179</v>
      </c>
      <c r="L156" s="8">
        <f t="shared" si="2"/>
        <v>-0.20152704328604604</v>
      </c>
      <c r="M156" s="5">
        <v>2</v>
      </c>
      <c r="N156" s="5">
        <v>722</v>
      </c>
    </row>
    <row r="157" spans="1:14" ht="19.95" customHeight="1" x14ac:dyDescent="0.3">
      <c r="A157" s="9">
        <v>156</v>
      </c>
      <c r="B157" s="10" t="s">
        <v>228</v>
      </c>
      <c r="C157" s="10" t="s">
        <v>229</v>
      </c>
      <c r="D157" s="16" t="s">
        <v>26</v>
      </c>
      <c r="E157" s="12">
        <v>200</v>
      </c>
      <c r="F157" s="13">
        <f>200/632</f>
        <v>0.31645569620253167</v>
      </c>
      <c r="G157" s="14" t="s">
        <v>27</v>
      </c>
      <c r="H157" s="12">
        <v>195</v>
      </c>
      <c r="I157" s="13">
        <f>195/557</f>
        <v>0.35008976660682228</v>
      </c>
      <c r="J157" s="14" t="s">
        <v>18</v>
      </c>
      <c r="K157" s="12">
        <v>-5</v>
      </c>
      <c r="L157" s="15">
        <f t="shared" si="2"/>
        <v>3.3634070404290617E-2</v>
      </c>
      <c r="M157" s="12">
        <v>6</v>
      </c>
      <c r="N157" s="12">
        <v>557</v>
      </c>
    </row>
    <row r="158" spans="1:14" ht="19.95" customHeight="1" x14ac:dyDescent="0.3">
      <c r="A158" s="2">
        <v>157</v>
      </c>
      <c r="B158" s="3" t="s">
        <v>230</v>
      </c>
      <c r="C158" s="3" t="s">
        <v>231</v>
      </c>
      <c r="D158" s="4" t="s">
        <v>16</v>
      </c>
      <c r="E158" s="5">
        <v>309</v>
      </c>
      <c r="F158" s="6">
        <f>309/867</f>
        <v>0.356401384083045</v>
      </c>
      <c r="G158" s="7" t="s">
        <v>18</v>
      </c>
      <c r="H158" s="5">
        <v>309</v>
      </c>
      <c r="I158" s="6">
        <f>309/856</f>
        <v>0.36098130841121495</v>
      </c>
      <c r="J158" s="7" t="s">
        <v>17</v>
      </c>
      <c r="K158" s="5">
        <v>0</v>
      </c>
      <c r="L158" s="8">
        <f t="shared" si="2"/>
        <v>4.5799243281699487E-3</v>
      </c>
      <c r="M158" s="5">
        <v>85</v>
      </c>
      <c r="N158" s="5">
        <v>856</v>
      </c>
    </row>
    <row r="159" spans="1:14" ht="19.95" customHeight="1" x14ac:dyDescent="0.3">
      <c r="A159" s="9">
        <v>158</v>
      </c>
      <c r="B159" s="10" t="s">
        <v>232</v>
      </c>
      <c r="C159" s="10" t="s">
        <v>233</v>
      </c>
      <c r="D159" s="4" t="s">
        <v>16</v>
      </c>
      <c r="E159" s="12">
        <v>131</v>
      </c>
      <c r="F159" s="13">
        <f>131/484</f>
        <v>0.27066115702479338</v>
      </c>
      <c r="G159" s="14" t="s">
        <v>27</v>
      </c>
      <c r="H159" s="12">
        <v>191</v>
      </c>
      <c r="I159" s="13">
        <f>191/443</f>
        <v>0.43115124153498874</v>
      </c>
      <c r="J159" s="14" t="s">
        <v>17</v>
      </c>
      <c r="K159" s="12">
        <v>60</v>
      </c>
      <c r="L159" s="15">
        <f t="shared" si="2"/>
        <v>0.16049008451019536</v>
      </c>
      <c r="M159" s="12">
        <v>56</v>
      </c>
      <c r="N159" s="12">
        <v>443</v>
      </c>
    </row>
    <row r="160" spans="1:14" ht="19.95" customHeight="1" x14ac:dyDescent="0.3">
      <c r="A160" s="2">
        <v>159</v>
      </c>
      <c r="B160" s="3" t="s">
        <v>234</v>
      </c>
      <c r="C160" s="3" t="s">
        <v>235</v>
      </c>
      <c r="D160" s="18" t="s">
        <v>347</v>
      </c>
      <c r="E160" s="5">
        <v>250</v>
      </c>
      <c r="F160" s="6">
        <f>250/483</f>
        <v>0.51759834368530022</v>
      </c>
      <c r="G160" s="7" t="s">
        <v>17</v>
      </c>
      <c r="H160" s="5">
        <v>98</v>
      </c>
      <c r="I160" s="6">
        <f>98/438</f>
        <v>0.22374429223744291</v>
      </c>
      <c r="J160" s="7" t="s">
        <v>18</v>
      </c>
      <c r="K160" s="5">
        <v>-152</v>
      </c>
      <c r="L160" s="8">
        <f t="shared" si="2"/>
        <v>-0.29385405144785731</v>
      </c>
      <c r="M160" s="5">
        <v>175</v>
      </c>
      <c r="N160" s="5">
        <v>438</v>
      </c>
    </row>
    <row r="161" spans="1:14" ht="19.95" customHeight="1" x14ac:dyDescent="0.3">
      <c r="A161" s="9">
        <v>160</v>
      </c>
      <c r="B161" s="10" t="s">
        <v>236</v>
      </c>
      <c r="C161" s="10" t="s">
        <v>237</v>
      </c>
      <c r="D161" s="18" t="s">
        <v>347</v>
      </c>
      <c r="E161" s="12">
        <v>134</v>
      </c>
      <c r="F161" s="13">
        <f>134/312</f>
        <v>0.42948717948717946</v>
      </c>
      <c r="G161" s="14" t="s">
        <v>17</v>
      </c>
      <c r="H161" s="12">
        <v>113</v>
      </c>
      <c r="I161" s="13">
        <f>113/342</f>
        <v>0.33040935672514621</v>
      </c>
      <c r="J161" s="14" t="s">
        <v>18</v>
      </c>
      <c r="K161" s="12">
        <v>-21</v>
      </c>
      <c r="L161" s="15">
        <f t="shared" si="2"/>
        <v>-9.9077822762033252E-2</v>
      </c>
      <c r="M161" s="12">
        <v>7</v>
      </c>
      <c r="N161" s="12">
        <v>342</v>
      </c>
    </row>
    <row r="162" spans="1:14" ht="19.95" customHeight="1" x14ac:dyDescent="0.3">
      <c r="A162" s="2">
        <v>161</v>
      </c>
      <c r="B162" s="3" t="s">
        <v>238</v>
      </c>
      <c r="C162" s="3" t="s">
        <v>239</v>
      </c>
      <c r="D162" s="11" t="s">
        <v>21</v>
      </c>
      <c r="E162" s="5">
        <v>447</v>
      </c>
      <c r="F162" s="6">
        <f>447/785</f>
        <v>0.56942675159235667</v>
      </c>
      <c r="G162" s="7" t="s">
        <v>17</v>
      </c>
      <c r="H162" s="5">
        <v>386</v>
      </c>
      <c r="I162" s="6">
        <f>386/721</f>
        <v>0.53536754507628292</v>
      </c>
      <c r="J162" s="7" t="s">
        <v>17</v>
      </c>
      <c r="K162" s="5">
        <v>-61</v>
      </c>
      <c r="L162" s="8">
        <f t="shared" si="2"/>
        <v>-3.4059206516073748E-2</v>
      </c>
      <c r="M162" s="5">
        <v>243</v>
      </c>
      <c r="N162" s="5">
        <v>721</v>
      </c>
    </row>
    <row r="163" spans="1:14" ht="19.95" customHeight="1" x14ac:dyDescent="0.3">
      <c r="A163" s="9">
        <v>162</v>
      </c>
      <c r="B163" s="10" t="s">
        <v>238</v>
      </c>
      <c r="C163" s="10" t="s">
        <v>239</v>
      </c>
      <c r="D163" s="11" t="s">
        <v>21</v>
      </c>
      <c r="E163" s="12">
        <v>197</v>
      </c>
      <c r="F163" s="13">
        <f>197/584</f>
        <v>0.33732876712328769</v>
      </c>
      <c r="G163" s="14" t="s">
        <v>17</v>
      </c>
      <c r="H163" s="12">
        <v>188</v>
      </c>
      <c r="I163" s="13">
        <f>188/452</f>
        <v>0.41592920353982299</v>
      </c>
      <c r="J163" s="14" t="s">
        <v>17</v>
      </c>
      <c r="K163" s="12">
        <v>-9</v>
      </c>
      <c r="L163" s="15">
        <f t="shared" si="2"/>
        <v>7.8600436416535302E-2</v>
      </c>
      <c r="M163" s="12">
        <v>17</v>
      </c>
      <c r="N163" s="12">
        <v>452</v>
      </c>
    </row>
    <row r="164" spans="1:14" ht="19.95" customHeight="1" x14ac:dyDescent="0.3">
      <c r="A164" s="2">
        <v>163</v>
      </c>
      <c r="B164" s="3" t="s">
        <v>238</v>
      </c>
      <c r="C164" s="3" t="s">
        <v>239</v>
      </c>
      <c r="D164" s="11" t="s">
        <v>21</v>
      </c>
      <c r="E164" s="5">
        <v>156</v>
      </c>
      <c r="F164" s="6">
        <f>156/442</f>
        <v>0.35294117647058826</v>
      </c>
      <c r="G164" s="7" t="s">
        <v>17</v>
      </c>
      <c r="H164" s="5">
        <v>110</v>
      </c>
      <c r="I164" s="6">
        <f>110/320</f>
        <v>0.34375</v>
      </c>
      <c r="J164" s="7" t="s">
        <v>17</v>
      </c>
      <c r="K164" s="5">
        <v>-46</v>
      </c>
      <c r="L164" s="8">
        <f t="shared" si="2"/>
        <v>-9.1911764705882582E-3</v>
      </c>
      <c r="M164" s="5">
        <v>22</v>
      </c>
      <c r="N164" s="5">
        <v>320</v>
      </c>
    </row>
    <row r="165" spans="1:14" ht="19.95" customHeight="1" x14ac:dyDescent="0.3">
      <c r="A165" s="9">
        <v>164</v>
      </c>
      <c r="B165" s="10" t="s">
        <v>240</v>
      </c>
      <c r="C165" s="10" t="s">
        <v>241</v>
      </c>
      <c r="D165" s="11" t="s">
        <v>21</v>
      </c>
      <c r="E165" s="12">
        <v>289</v>
      </c>
      <c r="F165" s="13">
        <f>289/777</f>
        <v>0.37194337194337196</v>
      </c>
      <c r="G165" s="14" t="s">
        <v>17</v>
      </c>
      <c r="H165" s="12">
        <v>285</v>
      </c>
      <c r="I165" s="13">
        <f>285/684</f>
        <v>0.41666666666666669</v>
      </c>
      <c r="J165" s="14" t="s">
        <v>17</v>
      </c>
      <c r="K165" s="12">
        <v>-4</v>
      </c>
      <c r="L165" s="15">
        <f t="shared" si="2"/>
        <v>4.4723294723294726E-2</v>
      </c>
      <c r="M165" s="12">
        <v>53</v>
      </c>
      <c r="N165" s="12">
        <v>684</v>
      </c>
    </row>
    <row r="166" spans="1:14" ht="19.95" customHeight="1" x14ac:dyDescent="0.3">
      <c r="A166" s="2">
        <v>165</v>
      </c>
      <c r="B166" s="3" t="s">
        <v>240</v>
      </c>
      <c r="C166" s="3" t="s">
        <v>241</v>
      </c>
      <c r="D166" s="4" t="s">
        <v>16</v>
      </c>
      <c r="E166" s="5">
        <v>173</v>
      </c>
      <c r="F166" s="6">
        <f>173/592</f>
        <v>0.29222972972972971</v>
      </c>
      <c r="G166" s="7" t="s">
        <v>18</v>
      </c>
      <c r="H166" s="5">
        <v>174</v>
      </c>
      <c r="I166" s="6">
        <f>174/458</f>
        <v>0.37991266375545851</v>
      </c>
      <c r="J166" s="7" t="s">
        <v>17</v>
      </c>
      <c r="K166" s="5">
        <v>1</v>
      </c>
      <c r="L166" s="8">
        <f t="shared" si="2"/>
        <v>8.7682934025728798E-2</v>
      </c>
      <c r="M166" s="5">
        <v>36</v>
      </c>
      <c r="N166" s="5">
        <v>458</v>
      </c>
    </row>
    <row r="167" spans="1:14" ht="19.95" customHeight="1" x14ac:dyDescent="0.3">
      <c r="A167" s="9">
        <v>166</v>
      </c>
      <c r="B167" s="10" t="s">
        <v>240</v>
      </c>
      <c r="C167" s="10" t="s">
        <v>241</v>
      </c>
      <c r="D167" s="11" t="s">
        <v>21</v>
      </c>
      <c r="E167" s="12">
        <v>270</v>
      </c>
      <c r="F167" s="13">
        <f>270/668</f>
        <v>0.40419161676646709</v>
      </c>
      <c r="G167" s="14" t="s">
        <v>17</v>
      </c>
      <c r="H167" s="12">
        <v>303</v>
      </c>
      <c r="I167" s="13">
        <f>303/611</f>
        <v>0.49590834697217678</v>
      </c>
      <c r="J167" s="14" t="s">
        <v>17</v>
      </c>
      <c r="K167" s="12">
        <v>33</v>
      </c>
      <c r="L167" s="15">
        <f t="shared" si="2"/>
        <v>9.1716730205709696E-2</v>
      </c>
      <c r="M167" s="12">
        <v>134</v>
      </c>
      <c r="N167" s="12">
        <v>611</v>
      </c>
    </row>
    <row r="168" spans="1:14" ht="19.95" customHeight="1" x14ac:dyDescent="0.3">
      <c r="A168" s="2">
        <v>167</v>
      </c>
      <c r="B168" s="3" t="s">
        <v>242</v>
      </c>
      <c r="C168" s="3" t="s">
        <v>243</v>
      </c>
      <c r="D168" s="17" t="s">
        <v>36</v>
      </c>
      <c r="E168" s="5">
        <v>103</v>
      </c>
      <c r="F168" s="6">
        <f>103/443</f>
        <v>0.2325056433408578</v>
      </c>
      <c r="G168" s="7" t="s">
        <v>27</v>
      </c>
      <c r="H168" s="5">
        <v>62</v>
      </c>
      <c r="I168" s="6">
        <f>62/442</f>
        <v>0.14027149321266968</v>
      </c>
      <c r="J168" s="7" t="s">
        <v>18</v>
      </c>
      <c r="K168" s="5">
        <v>-41</v>
      </c>
      <c r="L168" s="8">
        <f t="shared" si="2"/>
        <v>-9.2234150128188114E-2</v>
      </c>
      <c r="M168" s="5">
        <v>127</v>
      </c>
      <c r="N168" s="5">
        <v>442</v>
      </c>
    </row>
    <row r="169" spans="1:14" ht="19.95" customHeight="1" x14ac:dyDescent="0.3">
      <c r="A169" s="9">
        <v>168</v>
      </c>
      <c r="B169" s="10" t="s">
        <v>242</v>
      </c>
      <c r="C169" s="10" t="s">
        <v>243</v>
      </c>
      <c r="D169" s="16" t="s">
        <v>26</v>
      </c>
      <c r="E169" s="12">
        <v>118</v>
      </c>
      <c r="F169" s="13">
        <f>118/440</f>
        <v>0.26818181818181819</v>
      </c>
      <c r="G169" s="14" t="s">
        <v>27</v>
      </c>
      <c r="H169" s="12">
        <v>87</v>
      </c>
      <c r="I169" s="13">
        <f>87/424</f>
        <v>0.20518867924528303</v>
      </c>
      <c r="J169" s="14" t="s">
        <v>18</v>
      </c>
      <c r="K169" s="12">
        <v>-31</v>
      </c>
      <c r="L169" s="15">
        <f t="shared" si="2"/>
        <v>-6.2993138936535159E-2</v>
      </c>
      <c r="M169" s="12">
        <v>71</v>
      </c>
      <c r="N169" s="12">
        <v>424</v>
      </c>
    </row>
    <row r="170" spans="1:14" ht="19.95" customHeight="1" x14ac:dyDescent="0.3">
      <c r="A170" s="2">
        <v>169</v>
      </c>
      <c r="B170" s="3" t="s">
        <v>244</v>
      </c>
      <c r="C170" s="3" t="s">
        <v>245</v>
      </c>
      <c r="D170" s="18" t="s">
        <v>73</v>
      </c>
      <c r="E170" s="5">
        <v>257</v>
      </c>
      <c r="F170" s="6">
        <f>257/693</f>
        <v>0.37085137085137088</v>
      </c>
      <c r="G170" s="7" t="s">
        <v>17</v>
      </c>
      <c r="H170" s="5">
        <v>182</v>
      </c>
      <c r="I170" s="6">
        <f>182/647</f>
        <v>0.28129829984544047</v>
      </c>
      <c r="J170" s="7" t="s">
        <v>27</v>
      </c>
      <c r="K170" s="5">
        <v>-75</v>
      </c>
      <c r="L170" s="8">
        <f t="shared" si="2"/>
        <v>-8.9553071005930407E-2</v>
      </c>
      <c r="M170" s="5">
        <v>29</v>
      </c>
      <c r="N170" s="5">
        <v>647</v>
      </c>
    </row>
    <row r="171" spans="1:14" ht="19.95" customHeight="1" x14ac:dyDescent="0.3">
      <c r="A171" s="9">
        <v>170</v>
      </c>
      <c r="B171" s="10" t="s">
        <v>246</v>
      </c>
      <c r="C171" s="10" t="s">
        <v>247</v>
      </c>
      <c r="D171" s="11" t="s">
        <v>21</v>
      </c>
      <c r="E171" s="12">
        <v>328</v>
      </c>
      <c r="F171" s="13">
        <f>328/826</f>
        <v>0.39709443099273606</v>
      </c>
      <c r="G171" s="14" t="s">
        <v>17</v>
      </c>
      <c r="H171" s="12">
        <v>322</v>
      </c>
      <c r="I171" s="13">
        <f>322/676</f>
        <v>0.47633136094674555</v>
      </c>
      <c r="J171" s="14" t="s">
        <v>17</v>
      </c>
      <c r="K171" s="12">
        <v>-6</v>
      </c>
      <c r="L171" s="15">
        <f t="shared" si="2"/>
        <v>7.9236929954009494E-2</v>
      </c>
      <c r="M171" s="12">
        <v>175</v>
      </c>
      <c r="N171" s="12">
        <v>676</v>
      </c>
    </row>
    <row r="172" spans="1:14" ht="19.95" customHeight="1" x14ac:dyDescent="0.3">
      <c r="A172" s="2">
        <v>171</v>
      </c>
      <c r="B172" s="3" t="s">
        <v>248</v>
      </c>
      <c r="C172" s="3" t="s">
        <v>249</v>
      </c>
      <c r="D172" s="16" t="s">
        <v>26</v>
      </c>
      <c r="E172" s="5">
        <v>204</v>
      </c>
      <c r="F172" s="6">
        <f>204/594</f>
        <v>0.34343434343434343</v>
      </c>
      <c r="G172" s="7" t="s">
        <v>18</v>
      </c>
      <c r="H172" s="5">
        <v>160</v>
      </c>
      <c r="I172" s="6">
        <f>160/535</f>
        <v>0.29906542056074764</v>
      </c>
      <c r="J172" s="7" t="s">
        <v>27</v>
      </c>
      <c r="K172" s="5">
        <v>-44</v>
      </c>
      <c r="L172" s="8">
        <f t="shared" si="2"/>
        <v>-4.4368922873595784E-2</v>
      </c>
      <c r="M172" s="5">
        <v>3</v>
      </c>
      <c r="N172" s="5">
        <v>535</v>
      </c>
    </row>
    <row r="173" spans="1:14" ht="19.95" customHeight="1" x14ac:dyDescent="0.3">
      <c r="A173" s="9">
        <v>172</v>
      </c>
      <c r="B173" s="10" t="s">
        <v>250</v>
      </c>
      <c r="C173" s="10" t="s">
        <v>251</v>
      </c>
      <c r="D173" s="4" t="s">
        <v>16</v>
      </c>
      <c r="E173" s="12">
        <v>222</v>
      </c>
      <c r="F173" s="13">
        <f>222/617</f>
        <v>0.35980551053484605</v>
      </c>
      <c r="G173" s="14" t="s">
        <v>18</v>
      </c>
      <c r="H173" s="12">
        <v>263</v>
      </c>
      <c r="I173" s="13">
        <f>263/580</f>
        <v>0.45344827586206898</v>
      </c>
      <c r="J173" s="14" t="s">
        <v>17</v>
      </c>
      <c r="K173" s="12">
        <v>41</v>
      </c>
      <c r="L173" s="15">
        <f t="shared" si="2"/>
        <v>9.3642765327222932E-2</v>
      </c>
      <c r="M173" s="12">
        <v>84</v>
      </c>
      <c r="N173" s="12">
        <v>580</v>
      </c>
    </row>
    <row r="174" spans="1:14" ht="19.95" customHeight="1" x14ac:dyDescent="0.3">
      <c r="A174" s="2">
        <v>173</v>
      </c>
      <c r="B174" s="3" t="s">
        <v>252</v>
      </c>
      <c r="C174" s="3" t="s">
        <v>253</v>
      </c>
      <c r="D174" s="11" t="s">
        <v>21</v>
      </c>
      <c r="E174" s="5">
        <v>195</v>
      </c>
      <c r="F174" s="6">
        <f>195/438</f>
        <v>0.4452054794520548</v>
      </c>
      <c r="G174" s="7" t="s">
        <v>17</v>
      </c>
      <c r="H174" s="5">
        <v>145</v>
      </c>
      <c r="I174" s="6">
        <f>145/424</f>
        <v>0.34198113207547171</v>
      </c>
      <c r="J174" s="7" t="s">
        <v>17</v>
      </c>
      <c r="K174" s="5">
        <v>-50</v>
      </c>
      <c r="L174" s="8">
        <f t="shared" si="2"/>
        <v>-0.10322434737658309</v>
      </c>
      <c r="M174" s="5">
        <v>31</v>
      </c>
      <c r="N174" s="5">
        <v>424</v>
      </c>
    </row>
    <row r="175" spans="1:14" ht="19.95" customHeight="1" x14ac:dyDescent="0.3">
      <c r="A175" s="9">
        <v>174</v>
      </c>
      <c r="B175" s="10" t="s">
        <v>254</v>
      </c>
      <c r="C175" s="10" t="s">
        <v>255</v>
      </c>
      <c r="D175" s="18" t="s">
        <v>347</v>
      </c>
      <c r="E175" s="12">
        <v>226</v>
      </c>
      <c r="F175" s="13">
        <f>226/571</f>
        <v>0.39579684763572681</v>
      </c>
      <c r="G175" s="14" t="s">
        <v>17</v>
      </c>
      <c r="H175" s="12">
        <v>161</v>
      </c>
      <c r="I175" s="13">
        <f>161/517</f>
        <v>0.3114119922630561</v>
      </c>
      <c r="J175" s="14" t="s">
        <v>18</v>
      </c>
      <c r="K175" s="12">
        <v>-65</v>
      </c>
      <c r="L175" s="15">
        <f t="shared" si="2"/>
        <v>-8.4384855372670708E-2</v>
      </c>
      <c r="M175" s="12">
        <v>38</v>
      </c>
      <c r="N175" s="12">
        <v>517</v>
      </c>
    </row>
    <row r="176" spans="1:14" ht="19.95" customHeight="1" x14ac:dyDescent="0.3">
      <c r="A176" s="2">
        <v>175</v>
      </c>
      <c r="B176" s="3" t="s">
        <v>256</v>
      </c>
      <c r="C176" s="3" t="s">
        <v>257</v>
      </c>
      <c r="D176" s="18" t="s">
        <v>65</v>
      </c>
      <c r="E176" s="5">
        <v>283</v>
      </c>
      <c r="F176" s="6">
        <f>283/552</f>
        <v>0.5126811594202898</v>
      </c>
      <c r="G176" s="7" t="s">
        <v>17</v>
      </c>
      <c r="H176" s="5">
        <v>67</v>
      </c>
      <c r="I176" s="6">
        <f>67/517</f>
        <v>0.12959381044487428</v>
      </c>
      <c r="J176" s="7" t="s">
        <v>66</v>
      </c>
      <c r="K176" s="5">
        <v>-216</v>
      </c>
      <c r="L176" s="8">
        <f t="shared" si="2"/>
        <v>-0.38308734897541552</v>
      </c>
      <c r="M176" s="5">
        <v>288</v>
      </c>
      <c r="N176" s="5">
        <v>517</v>
      </c>
    </row>
    <row r="177" spans="1:14" ht="19.95" customHeight="1" x14ac:dyDescent="0.3">
      <c r="A177" s="9">
        <v>176</v>
      </c>
      <c r="B177" s="10" t="s">
        <v>258</v>
      </c>
      <c r="C177" s="10" t="s">
        <v>259</v>
      </c>
      <c r="D177" s="4" t="s">
        <v>16</v>
      </c>
      <c r="E177" s="12">
        <v>184</v>
      </c>
      <c r="F177" s="13">
        <f>184/604</f>
        <v>0.30463576158940397</v>
      </c>
      <c r="G177" s="14" t="s">
        <v>18</v>
      </c>
      <c r="H177" s="12">
        <v>178</v>
      </c>
      <c r="I177" s="13">
        <f>178/513</f>
        <v>0.34697855750487328</v>
      </c>
      <c r="J177" s="14" t="s">
        <v>17</v>
      </c>
      <c r="K177" s="12">
        <v>-6</v>
      </c>
      <c r="L177" s="15">
        <f t="shared" si="2"/>
        <v>4.23427959154693E-2</v>
      </c>
      <c r="M177" s="12">
        <v>18</v>
      </c>
      <c r="N177" s="12">
        <v>513</v>
      </c>
    </row>
    <row r="178" spans="1:14" ht="19.95" customHeight="1" x14ac:dyDescent="0.3">
      <c r="A178" s="2">
        <v>177</v>
      </c>
      <c r="B178" s="3" t="s">
        <v>258</v>
      </c>
      <c r="C178" s="3" t="s">
        <v>259</v>
      </c>
      <c r="D178" s="18" t="s">
        <v>347</v>
      </c>
      <c r="E178" s="5">
        <v>225</v>
      </c>
      <c r="F178" s="6">
        <f>225/573</f>
        <v>0.39267015706806285</v>
      </c>
      <c r="G178" s="7" t="s">
        <v>17</v>
      </c>
      <c r="H178" s="5">
        <v>187</v>
      </c>
      <c r="I178" s="6">
        <f>187/523</f>
        <v>0.35755258126195028</v>
      </c>
      <c r="J178" s="7" t="s">
        <v>18</v>
      </c>
      <c r="K178" s="5">
        <v>-38</v>
      </c>
      <c r="L178" s="8">
        <f t="shared" si="2"/>
        <v>-3.5117575806112578E-2</v>
      </c>
      <c r="M178" s="5">
        <v>58</v>
      </c>
      <c r="N178" s="5">
        <v>523</v>
      </c>
    </row>
    <row r="179" spans="1:14" ht="19.95" customHeight="1" x14ac:dyDescent="0.3">
      <c r="A179" s="9">
        <v>178</v>
      </c>
      <c r="B179" s="10" t="s">
        <v>260</v>
      </c>
      <c r="C179" s="10" t="s">
        <v>261</v>
      </c>
      <c r="D179" s="11" t="s">
        <v>21</v>
      </c>
      <c r="E179" s="12">
        <v>375</v>
      </c>
      <c r="F179" s="13">
        <f>375/691</f>
        <v>0.54269175108538348</v>
      </c>
      <c r="G179" s="14" t="s">
        <v>17</v>
      </c>
      <c r="H179" s="12">
        <v>329</v>
      </c>
      <c r="I179" s="13">
        <f>329/630</f>
        <v>0.52222222222222225</v>
      </c>
      <c r="J179" s="14" t="s">
        <v>17</v>
      </c>
      <c r="K179" s="12">
        <v>-46</v>
      </c>
      <c r="L179" s="15">
        <f t="shared" si="2"/>
        <v>-2.0469528863161224E-2</v>
      </c>
      <c r="M179" s="12">
        <v>168</v>
      </c>
      <c r="N179" s="12">
        <v>630</v>
      </c>
    </row>
    <row r="180" spans="1:14" ht="19.95" customHeight="1" x14ac:dyDescent="0.3">
      <c r="A180" s="2">
        <v>179</v>
      </c>
      <c r="B180" s="3" t="s">
        <v>262</v>
      </c>
      <c r="C180" s="3" t="s">
        <v>263</v>
      </c>
      <c r="D180" s="16" t="s">
        <v>26</v>
      </c>
      <c r="E180" s="5">
        <v>176</v>
      </c>
      <c r="F180" s="6">
        <f>176/522</f>
        <v>0.33716475095785442</v>
      </c>
      <c r="G180" s="7" t="s">
        <v>18</v>
      </c>
      <c r="H180" s="5">
        <v>141</v>
      </c>
      <c r="I180" s="6">
        <f>141/441</f>
        <v>0.31972789115646261</v>
      </c>
      <c r="J180" s="7" t="s">
        <v>18</v>
      </c>
      <c r="K180" s="5">
        <v>-35</v>
      </c>
      <c r="L180" s="8">
        <f t="shared" si="2"/>
        <v>-1.7436859801391813E-2</v>
      </c>
      <c r="M180" s="5">
        <v>22</v>
      </c>
      <c r="N180" s="5">
        <v>441</v>
      </c>
    </row>
    <row r="181" spans="1:14" ht="19.95" customHeight="1" x14ac:dyDescent="0.3">
      <c r="A181" s="9">
        <v>180</v>
      </c>
      <c r="B181" s="10" t="s">
        <v>264</v>
      </c>
      <c r="C181" s="10" t="s">
        <v>265</v>
      </c>
      <c r="D181" s="18" t="s">
        <v>65</v>
      </c>
      <c r="E181" s="12">
        <v>185</v>
      </c>
      <c r="F181" s="13">
        <f>185/418</f>
        <v>0.44258373205741625</v>
      </c>
      <c r="G181" s="14" t="s">
        <v>17</v>
      </c>
      <c r="H181" s="12">
        <v>69</v>
      </c>
      <c r="I181" s="13">
        <f>69/418</f>
        <v>0.16507177033492823</v>
      </c>
      <c r="J181" s="14" t="s">
        <v>66</v>
      </c>
      <c r="K181" s="12">
        <v>-116</v>
      </c>
      <c r="L181" s="15">
        <f t="shared" si="2"/>
        <v>-0.27751196172248804</v>
      </c>
      <c r="M181" s="12">
        <v>227</v>
      </c>
      <c r="N181" s="12">
        <v>418</v>
      </c>
    </row>
    <row r="182" spans="1:14" ht="19.95" customHeight="1" x14ac:dyDescent="0.3">
      <c r="A182" s="2">
        <v>181</v>
      </c>
      <c r="B182" s="3" t="s">
        <v>264</v>
      </c>
      <c r="C182" s="3" t="s">
        <v>265</v>
      </c>
      <c r="D182" s="4" t="s">
        <v>16</v>
      </c>
      <c r="E182" s="5">
        <v>116</v>
      </c>
      <c r="F182" s="6">
        <f>116/398</f>
        <v>0.29145728643216079</v>
      </c>
      <c r="G182" s="7" t="s">
        <v>18</v>
      </c>
      <c r="H182" s="5">
        <v>120</v>
      </c>
      <c r="I182" s="6">
        <f>120/343</f>
        <v>0.3498542274052478</v>
      </c>
      <c r="J182" s="7" t="s">
        <v>17</v>
      </c>
      <c r="K182" s="5">
        <v>4</v>
      </c>
      <c r="L182" s="8">
        <f t="shared" si="2"/>
        <v>5.8396940973087008E-2</v>
      </c>
      <c r="M182" s="5">
        <v>23</v>
      </c>
      <c r="N182" s="5">
        <v>343</v>
      </c>
    </row>
    <row r="183" spans="1:14" ht="19.95" customHeight="1" x14ac:dyDescent="0.3">
      <c r="A183" s="9">
        <v>182</v>
      </c>
      <c r="B183" s="10" t="s">
        <v>266</v>
      </c>
      <c r="C183" s="10" t="s">
        <v>267</v>
      </c>
      <c r="D183" s="18" t="s">
        <v>65</v>
      </c>
      <c r="E183" s="12">
        <v>79</v>
      </c>
      <c r="F183" s="13">
        <f>79/238</f>
        <v>0.33193277310924368</v>
      </c>
      <c r="G183" s="14" t="s">
        <v>17</v>
      </c>
      <c r="H183" s="12">
        <v>18</v>
      </c>
      <c r="I183" s="13">
        <f>18/232</f>
        <v>7.7586206896551727E-2</v>
      </c>
      <c r="J183" s="14" t="s">
        <v>66</v>
      </c>
      <c r="K183" s="12">
        <v>-61</v>
      </c>
      <c r="L183" s="15">
        <f t="shared" si="2"/>
        <v>-0.25434656621269197</v>
      </c>
      <c r="M183" s="12">
        <v>101</v>
      </c>
      <c r="N183" s="12">
        <v>232</v>
      </c>
    </row>
    <row r="184" spans="1:14" ht="19.95" customHeight="1" x14ac:dyDescent="0.3">
      <c r="A184" s="2">
        <v>183</v>
      </c>
      <c r="B184" s="3" t="s">
        <v>268</v>
      </c>
      <c r="C184" s="3" t="s">
        <v>269</v>
      </c>
      <c r="D184" s="11" t="s">
        <v>21</v>
      </c>
      <c r="E184" s="5">
        <v>310</v>
      </c>
      <c r="F184" s="6">
        <f>310/549</f>
        <v>0.56466302367941712</v>
      </c>
      <c r="G184" s="7" t="s">
        <v>17</v>
      </c>
      <c r="H184" s="5">
        <v>197</v>
      </c>
      <c r="I184" s="6">
        <f>197/546</f>
        <v>0.3608058608058608</v>
      </c>
      <c r="J184" s="7" t="s">
        <v>17</v>
      </c>
      <c r="K184" s="5">
        <v>-113</v>
      </c>
      <c r="L184" s="8">
        <f t="shared" si="2"/>
        <v>-0.20385716287355632</v>
      </c>
      <c r="M184" s="5">
        <v>12</v>
      </c>
      <c r="N184" s="5">
        <v>546</v>
      </c>
    </row>
    <row r="185" spans="1:14" ht="19.95" customHeight="1" x14ac:dyDescent="0.3">
      <c r="A185" s="9">
        <v>184</v>
      </c>
      <c r="B185" s="10" t="s">
        <v>270</v>
      </c>
      <c r="C185" s="10" t="s">
        <v>271</v>
      </c>
      <c r="D185" s="17" t="s">
        <v>36</v>
      </c>
      <c r="E185" s="12">
        <v>226</v>
      </c>
      <c r="F185" s="13">
        <f>226/728</f>
        <v>0.31043956043956045</v>
      </c>
      <c r="G185" s="14" t="s">
        <v>18</v>
      </c>
      <c r="H185" s="12">
        <v>97</v>
      </c>
      <c r="I185" s="13">
        <f>97/659</f>
        <v>0.14719271623672231</v>
      </c>
      <c r="J185" s="14" t="s">
        <v>66</v>
      </c>
      <c r="K185" s="12">
        <v>-129</v>
      </c>
      <c r="L185" s="15">
        <f t="shared" si="2"/>
        <v>-0.16324684420283814</v>
      </c>
      <c r="M185" s="12">
        <v>135</v>
      </c>
      <c r="N185" s="12">
        <v>659</v>
      </c>
    </row>
    <row r="186" spans="1:14" ht="19.95" customHeight="1" x14ac:dyDescent="0.3">
      <c r="A186" s="2">
        <v>185</v>
      </c>
      <c r="B186" s="3" t="s">
        <v>272</v>
      </c>
      <c r="C186" s="3" t="s">
        <v>273</v>
      </c>
      <c r="D186" s="11" t="s">
        <v>21</v>
      </c>
      <c r="E186" s="5">
        <v>177</v>
      </c>
      <c r="F186" s="6">
        <f>177/443</f>
        <v>0.39954853273137697</v>
      </c>
      <c r="G186" s="7" t="s">
        <v>17</v>
      </c>
      <c r="H186" s="5">
        <v>163</v>
      </c>
      <c r="I186" s="6">
        <f>163/379</f>
        <v>0.43007915567282323</v>
      </c>
      <c r="J186" s="7" t="s">
        <v>17</v>
      </c>
      <c r="K186" s="5">
        <v>-14</v>
      </c>
      <c r="L186" s="8">
        <f t="shared" si="2"/>
        <v>3.0530622941446262E-2</v>
      </c>
      <c r="M186" s="5">
        <v>61</v>
      </c>
      <c r="N186" s="5">
        <v>379</v>
      </c>
    </row>
    <row r="187" spans="1:14" ht="19.95" customHeight="1" x14ac:dyDescent="0.3">
      <c r="A187" s="9">
        <v>186</v>
      </c>
      <c r="B187" s="10" t="s">
        <v>274</v>
      </c>
      <c r="C187" s="10" t="s">
        <v>275</v>
      </c>
      <c r="D187" s="4" t="s">
        <v>16</v>
      </c>
      <c r="E187" s="12">
        <v>195</v>
      </c>
      <c r="F187" s="13">
        <f>195/648</f>
        <v>0.30092592592592593</v>
      </c>
      <c r="G187" s="14" t="s">
        <v>18</v>
      </c>
      <c r="H187" s="12">
        <v>166</v>
      </c>
      <c r="I187" s="13">
        <f>166/527</f>
        <v>0.31499051233396586</v>
      </c>
      <c r="J187" s="14" t="s">
        <v>17</v>
      </c>
      <c r="K187" s="12">
        <v>-29</v>
      </c>
      <c r="L187" s="15">
        <f t="shared" si="2"/>
        <v>1.4064586408039925E-2</v>
      </c>
      <c r="M187" s="12">
        <v>13</v>
      </c>
      <c r="N187" s="12">
        <v>527</v>
      </c>
    </row>
    <row r="188" spans="1:14" ht="19.95" customHeight="1" x14ac:dyDescent="0.3">
      <c r="A188" s="2">
        <v>187</v>
      </c>
      <c r="B188" s="3" t="s">
        <v>274</v>
      </c>
      <c r="C188" s="3" t="s">
        <v>275</v>
      </c>
      <c r="D188" s="16" t="s">
        <v>26</v>
      </c>
      <c r="E188" s="5">
        <v>174</v>
      </c>
      <c r="F188" s="6">
        <f>174/708</f>
        <v>0.24576271186440679</v>
      </c>
      <c r="G188" s="7" t="s">
        <v>18</v>
      </c>
      <c r="H188" s="5">
        <v>170</v>
      </c>
      <c r="I188" s="6">
        <f>170/591</f>
        <v>0.28764805414551609</v>
      </c>
      <c r="J188" s="7" t="s">
        <v>18</v>
      </c>
      <c r="K188" s="5">
        <v>-4</v>
      </c>
      <c r="L188" s="8">
        <f t="shared" si="2"/>
        <v>4.1885342281109295E-2</v>
      </c>
      <c r="M188" s="5">
        <v>48</v>
      </c>
      <c r="N188" s="5">
        <v>591</v>
      </c>
    </row>
    <row r="189" spans="1:14" ht="19.95" customHeight="1" x14ac:dyDescent="0.3">
      <c r="A189" s="9">
        <v>188</v>
      </c>
      <c r="B189" s="10" t="s">
        <v>274</v>
      </c>
      <c r="C189" s="10" t="s">
        <v>275</v>
      </c>
      <c r="D189" s="4" t="s">
        <v>16</v>
      </c>
      <c r="E189" s="12">
        <v>162</v>
      </c>
      <c r="F189" s="13">
        <f>162/607</f>
        <v>0.26688632619439867</v>
      </c>
      <c r="G189" s="14" t="s">
        <v>18</v>
      </c>
      <c r="H189" s="12">
        <v>169</v>
      </c>
      <c r="I189" s="13">
        <f>169/528</f>
        <v>0.32007575757575757</v>
      </c>
      <c r="J189" s="14" t="s">
        <v>17</v>
      </c>
      <c r="K189" s="12">
        <v>7</v>
      </c>
      <c r="L189" s="15">
        <f t="shared" si="2"/>
        <v>5.3189431381358898E-2</v>
      </c>
      <c r="M189" s="12">
        <v>28</v>
      </c>
      <c r="N189" s="12">
        <v>528</v>
      </c>
    </row>
    <row r="190" spans="1:14" ht="19.95" customHeight="1" x14ac:dyDescent="0.3">
      <c r="A190" s="2">
        <v>189</v>
      </c>
      <c r="B190" s="3" t="s">
        <v>276</v>
      </c>
      <c r="C190" s="3" t="s">
        <v>277</v>
      </c>
      <c r="D190" s="11" t="s">
        <v>21</v>
      </c>
      <c r="E190" s="5">
        <v>160</v>
      </c>
      <c r="F190" s="6">
        <f>160/370</f>
        <v>0.43243243243243246</v>
      </c>
      <c r="G190" s="7" t="s">
        <v>17</v>
      </c>
      <c r="H190" s="5">
        <v>145</v>
      </c>
      <c r="I190" s="6">
        <f>145/312</f>
        <v>0.46474358974358976</v>
      </c>
      <c r="J190" s="7" t="s">
        <v>17</v>
      </c>
      <c r="K190" s="5">
        <v>-15</v>
      </c>
      <c r="L190" s="8">
        <f t="shared" si="2"/>
        <v>3.2311157311157301E-2</v>
      </c>
      <c r="M190" s="5">
        <v>66</v>
      </c>
      <c r="N190" s="5">
        <v>312</v>
      </c>
    </row>
    <row r="191" spans="1:14" ht="19.95" customHeight="1" x14ac:dyDescent="0.3">
      <c r="A191" s="9">
        <v>190</v>
      </c>
      <c r="B191" s="10" t="s">
        <v>276</v>
      </c>
      <c r="C191" s="10" t="s">
        <v>277</v>
      </c>
      <c r="D191" s="16" t="s">
        <v>26</v>
      </c>
      <c r="E191" s="12">
        <v>156</v>
      </c>
      <c r="F191" s="13">
        <f>156/538</f>
        <v>0.2899628252788104</v>
      </c>
      <c r="G191" s="14" t="s">
        <v>27</v>
      </c>
      <c r="H191" s="12">
        <v>130</v>
      </c>
      <c r="I191" s="13">
        <f>130/470</f>
        <v>0.27659574468085107</v>
      </c>
      <c r="J191" s="14" t="s">
        <v>18</v>
      </c>
      <c r="K191" s="12">
        <v>-26</v>
      </c>
      <c r="L191" s="15">
        <f t="shared" si="2"/>
        <v>-1.3367080597959324E-2</v>
      </c>
      <c r="M191" s="12">
        <v>21</v>
      </c>
      <c r="N191" s="12">
        <v>470</v>
      </c>
    </row>
    <row r="192" spans="1:14" ht="19.95" customHeight="1" x14ac:dyDescent="0.3">
      <c r="A192" s="2">
        <v>191</v>
      </c>
      <c r="B192" s="3" t="s">
        <v>278</v>
      </c>
      <c r="C192" s="3" t="s">
        <v>279</v>
      </c>
      <c r="D192" s="17" t="s">
        <v>36</v>
      </c>
      <c r="E192" s="5">
        <v>140</v>
      </c>
      <c r="F192" s="6">
        <f>140/514</f>
        <v>0.2723735408560311</v>
      </c>
      <c r="G192" s="7" t="s">
        <v>18</v>
      </c>
      <c r="H192" s="5">
        <v>90</v>
      </c>
      <c r="I192" s="6">
        <f>90/467</f>
        <v>0.19271948608137046</v>
      </c>
      <c r="J192" s="7" t="s">
        <v>18</v>
      </c>
      <c r="K192" s="5">
        <v>-50</v>
      </c>
      <c r="L192" s="8">
        <f t="shared" si="2"/>
        <v>-7.9654054774660643E-2</v>
      </c>
      <c r="M192" s="5">
        <v>49</v>
      </c>
      <c r="N192" s="5">
        <v>467</v>
      </c>
    </row>
    <row r="193" spans="1:14" ht="19.95" customHeight="1" x14ac:dyDescent="0.3">
      <c r="A193" s="9">
        <v>192</v>
      </c>
      <c r="B193" s="10" t="s">
        <v>278</v>
      </c>
      <c r="C193" s="10" t="s">
        <v>279</v>
      </c>
      <c r="D193" s="16" t="s">
        <v>26</v>
      </c>
      <c r="E193" s="12">
        <v>87</v>
      </c>
      <c r="F193" s="13">
        <f>87/524</f>
        <v>0.16603053435114504</v>
      </c>
      <c r="G193" s="14" t="s">
        <v>18</v>
      </c>
      <c r="H193" s="12">
        <v>103</v>
      </c>
      <c r="I193" s="13">
        <f>103/437</f>
        <v>0.23569794050343248</v>
      </c>
      <c r="J193" s="14" t="s">
        <v>27</v>
      </c>
      <c r="K193" s="12">
        <v>16</v>
      </c>
      <c r="L193" s="15">
        <f t="shared" si="2"/>
        <v>6.9667406152287448E-2</v>
      </c>
      <c r="M193" s="12">
        <v>1</v>
      </c>
      <c r="N193" s="12">
        <v>437</v>
      </c>
    </row>
    <row r="194" spans="1:14" ht="19.95" customHeight="1" x14ac:dyDescent="0.3">
      <c r="A194" s="2">
        <v>193</v>
      </c>
      <c r="B194" s="3" t="s">
        <v>280</v>
      </c>
      <c r="C194" s="3" t="s">
        <v>281</v>
      </c>
      <c r="D194" s="4" t="s">
        <v>16</v>
      </c>
      <c r="E194" s="5">
        <v>97</v>
      </c>
      <c r="F194" s="6">
        <f>97/277</f>
        <v>0.35018050541516244</v>
      </c>
      <c r="G194" s="7" t="s">
        <v>18</v>
      </c>
      <c r="H194" s="5">
        <v>99</v>
      </c>
      <c r="I194" s="6">
        <f>99/243</f>
        <v>0.40740740740740738</v>
      </c>
      <c r="J194" s="7" t="s">
        <v>17</v>
      </c>
      <c r="K194" s="5">
        <v>2</v>
      </c>
      <c r="L194" s="8">
        <f t="shared" ref="L194:L225" si="3">I194-F194</f>
        <v>5.722690199224495E-2</v>
      </c>
      <c r="M194" s="5">
        <v>33</v>
      </c>
      <c r="N194" s="5">
        <v>243</v>
      </c>
    </row>
    <row r="195" spans="1:14" ht="19.95" customHeight="1" x14ac:dyDescent="0.3">
      <c r="A195" s="9">
        <v>194</v>
      </c>
      <c r="B195" s="10" t="s">
        <v>282</v>
      </c>
      <c r="C195" s="10" t="s">
        <v>283</v>
      </c>
      <c r="D195" s="4" t="s">
        <v>16</v>
      </c>
      <c r="E195" s="12">
        <v>155</v>
      </c>
      <c r="F195" s="13">
        <f>155/397</f>
        <v>0.39042821158690177</v>
      </c>
      <c r="G195" s="14" t="s">
        <v>18</v>
      </c>
      <c r="H195" s="12">
        <v>132</v>
      </c>
      <c r="I195" s="13">
        <f>132/402</f>
        <v>0.32835820895522388</v>
      </c>
      <c r="J195" s="14" t="s">
        <v>17</v>
      </c>
      <c r="K195" s="12">
        <v>-23</v>
      </c>
      <c r="L195" s="15">
        <f t="shared" si="3"/>
        <v>-6.207000263167789E-2</v>
      </c>
      <c r="M195" s="12">
        <v>5</v>
      </c>
      <c r="N195" s="12">
        <v>402</v>
      </c>
    </row>
    <row r="196" spans="1:14" ht="19.95" customHeight="1" x14ac:dyDescent="0.3">
      <c r="A196" s="2">
        <v>195</v>
      </c>
      <c r="B196" s="3" t="s">
        <v>284</v>
      </c>
      <c r="C196" s="3" t="s">
        <v>285</v>
      </c>
      <c r="D196" s="18" t="s">
        <v>347</v>
      </c>
      <c r="E196" s="5">
        <v>218</v>
      </c>
      <c r="F196" s="6">
        <f>218/593</f>
        <v>0.36762225969645868</v>
      </c>
      <c r="G196" s="7" t="s">
        <v>17</v>
      </c>
      <c r="H196" s="5">
        <v>103</v>
      </c>
      <c r="I196" s="6">
        <f>103/560</f>
        <v>0.18392857142857144</v>
      </c>
      <c r="J196" s="7" t="s">
        <v>18</v>
      </c>
      <c r="K196" s="5">
        <v>-115</v>
      </c>
      <c r="L196" s="8">
        <f t="shared" si="3"/>
        <v>-0.18369368826788723</v>
      </c>
      <c r="M196" s="5">
        <v>15</v>
      </c>
      <c r="N196" s="5">
        <v>560</v>
      </c>
    </row>
    <row r="197" spans="1:14" ht="19.95" customHeight="1" x14ac:dyDescent="0.3">
      <c r="A197" s="9">
        <v>196</v>
      </c>
      <c r="B197" s="10" t="s">
        <v>286</v>
      </c>
      <c r="C197" s="10" t="s">
        <v>287</v>
      </c>
      <c r="D197" s="11" t="s">
        <v>21</v>
      </c>
      <c r="E197" s="12">
        <v>308</v>
      </c>
      <c r="F197" s="13">
        <f>308/674</f>
        <v>0.45697329376854601</v>
      </c>
      <c r="G197" s="14" t="s">
        <v>17</v>
      </c>
      <c r="H197" s="12">
        <v>186</v>
      </c>
      <c r="I197" s="13">
        <f>186/592</f>
        <v>0.3141891891891892</v>
      </c>
      <c r="J197" s="14" t="s">
        <v>17</v>
      </c>
      <c r="K197" s="12">
        <v>-122</v>
      </c>
      <c r="L197" s="15">
        <f t="shared" si="3"/>
        <v>-0.14278410457935681</v>
      </c>
      <c r="M197" s="12">
        <v>16</v>
      </c>
      <c r="N197" s="12">
        <v>592</v>
      </c>
    </row>
    <row r="198" spans="1:14" ht="19.95" customHeight="1" x14ac:dyDescent="0.3">
      <c r="A198" s="2">
        <v>197</v>
      </c>
      <c r="B198" s="3" t="s">
        <v>288</v>
      </c>
      <c r="C198" s="3" t="s">
        <v>289</v>
      </c>
      <c r="D198" s="11" t="s">
        <v>21</v>
      </c>
      <c r="E198" s="5">
        <v>335</v>
      </c>
      <c r="F198" s="6">
        <f>335/714</f>
        <v>0.46918767507002801</v>
      </c>
      <c r="G198" s="7" t="s">
        <v>17</v>
      </c>
      <c r="H198" s="5">
        <v>315</v>
      </c>
      <c r="I198" s="6">
        <f>315/659</f>
        <v>0.47799696509863432</v>
      </c>
      <c r="J198" s="7" t="s">
        <v>17</v>
      </c>
      <c r="K198" s="5">
        <v>-20</v>
      </c>
      <c r="L198" s="8">
        <f t="shared" si="3"/>
        <v>8.8092900286063092E-3</v>
      </c>
      <c r="M198" s="5">
        <v>96</v>
      </c>
      <c r="N198" s="5">
        <v>659</v>
      </c>
    </row>
    <row r="199" spans="1:14" ht="19.95" customHeight="1" x14ac:dyDescent="0.3">
      <c r="A199" s="9">
        <v>198</v>
      </c>
      <c r="B199" s="10" t="s">
        <v>290</v>
      </c>
      <c r="C199" s="10" t="s">
        <v>291</v>
      </c>
      <c r="D199" s="11" t="s">
        <v>21</v>
      </c>
      <c r="E199" s="12">
        <v>251</v>
      </c>
      <c r="F199" s="13">
        <f>251/657</f>
        <v>0.38203957382039572</v>
      </c>
      <c r="G199" s="14" t="s">
        <v>17</v>
      </c>
      <c r="H199" s="12">
        <v>247</v>
      </c>
      <c r="I199" s="13">
        <f>247/546</f>
        <v>0.45238095238095238</v>
      </c>
      <c r="J199" s="14" t="s">
        <v>17</v>
      </c>
      <c r="K199" s="12">
        <v>-4</v>
      </c>
      <c r="L199" s="15">
        <f t="shared" si="3"/>
        <v>7.0341378560556667E-2</v>
      </c>
      <c r="M199" s="12">
        <v>110</v>
      </c>
      <c r="N199" s="12">
        <v>546</v>
      </c>
    </row>
    <row r="200" spans="1:14" ht="19.95" customHeight="1" x14ac:dyDescent="0.3">
      <c r="A200" s="2">
        <v>199</v>
      </c>
      <c r="B200" s="3" t="s">
        <v>292</v>
      </c>
      <c r="C200" s="3" t="s">
        <v>293</v>
      </c>
      <c r="D200" s="11" t="s">
        <v>21</v>
      </c>
      <c r="E200" s="5">
        <v>293</v>
      </c>
      <c r="F200" s="6">
        <f>293/618</f>
        <v>0.47411003236245952</v>
      </c>
      <c r="G200" s="7" t="s">
        <v>17</v>
      </c>
      <c r="H200" s="5">
        <v>215</v>
      </c>
      <c r="I200" s="6">
        <f>215/545</f>
        <v>0.39449541284403672</v>
      </c>
      <c r="J200" s="7" t="s">
        <v>17</v>
      </c>
      <c r="K200" s="5">
        <v>-78</v>
      </c>
      <c r="L200" s="8">
        <f t="shared" si="3"/>
        <v>-7.9614619518422802E-2</v>
      </c>
      <c r="M200" s="5">
        <v>46</v>
      </c>
      <c r="N200" s="5">
        <v>545</v>
      </c>
    </row>
    <row r="201" spans="1:14" ht="19.95" customHeight="1" x14ac:dyDescent="0.3">
      <c r="A201" s="9">
        <v>200</v>
      </c>
      <c r="B201" s="10" t="s">
        <v>294</v>
      </c>
      <c r="C201" s="10" t="s">
        <v>295</v>
      </c>
      <c r="D201" s="11" t="s">
        <v>21</v>
      </c>
      <c r="E201" s="12">
        <v>184</v>
      </c>
      <c r="F201" s="13">
        <f>184/452</f>
        <v>0.40707964601769914</v>
      </c>
      <c r="G201" s="14" t="s">
        <v>17</v>
      </c>
      <c r="H201" s="12">
        <v>153</v>
      </c>
      <c r="I201" s="13">
        <f>153/411</f>
        <v>0.37226277372262773</v>
      </c>
      <c r="J201" s="14" t="s">
        <v>17</v>
      </c>
      <c r="K201" s="12">
        <v>-31</v>
      </c>
      <c r="L201" s="15">
        <f t="shared" si="3"/>
        <v>-3.481687229507141E-2</v>
      </c>
      <c r="M201" s="12">
        <v>32</v>
      </c>
      <c r="N201" s="12">
        <v>411</v>
      </c>
    </row>
    <row r="202" spans="1:14" ht="19.95" customHeight="1" x14ac:dyDescent="0.3">
      <c r="A202" s="2">
        <v>201</v>
      </c>
      <c r="B202" s="3" t="s">
        <v>296</v>
      </c>
      <c r="C202" s="3" t="s">
        <v>297</v>
      </c>
      <c r="D202" s="16" t="s">
        <v>26</v>
      </c>
      <c r="E202" s="5">
        <v>195</v>
      </c>
      <c r="F202" s="6">
        <f>195/635</f>
        <v>0.30708661417322836</v>
      </c>
      <c r="G202" s="7" t="s">
        <v>27</v>
      </c>
      <c r="H202" s="5">
        <v>188</v>
      </c>
      <c r="I202" s="6">
        <f>188/525</f>
        <v>0.35809523809523808</v>
      </c>
      <c r="J202" s="7" t="s">
        <v>18</v>
      </c>
      <c r="K202" s="5">
        <v>-7</v>
      </c>
      <c r="L202" s="8">
        <f t="shared" si="3"/>
        <v>5.1008623922009722E-2</v>
      </c>
      <c r="M202" s="5">
        <v>1</v>
      </c>
      <c r="N202" s="5">
        <v>525</v>
      </c>
    </row>
    <row r="203" spans="1:14" ht="19.95" customHeight="1" x14ac:dyDescent="0.3">
      <c r="A203" s="9">
        <v>202</v>
      </c>
      <c r="B203" s="10" t="s">
        <v>298</v>
      </c>
      <c r="C203" s="10" t="s">
        <v>299</v>
      </c>
      <c r="D203" s="16" t="s">
        <v>26</v>
      </c>
      <c r="E203" s="12">
        <v>96</v>
      </c>
      <c r="F203" s="13">
        <f>96/420</f>
        <v>0.22857142857142856</v>
      </c>
      <c r="G203" s="14" t="s">
        <v>27</v>
      </c>
      <c r="H203" s="12">
        <v>117</v>
      </c>
      <c r="I203" s="13">
        <f>117/354</f>
        <v>0.33050847457627119</v>
      </c>
      <c r="J203" s="14" t="s">
        <v>18</v>
      </c>
      <c r="K203" s="12">
        <v>21</v>
      </c>
      <c r="L203" s="15">
        <f t="shared" si="3"/>
        <v>0.10193704600484263</v>
      </c>
      <c r="M203" s="12">
        <v>2</v>
      </c>
      <c r="N203" s="12">
        <v>354</v>
      </c>
    </row>
    <row r="204" spans="1:14" ht="19.95" customHeight="1" x14ac:dyDescent="0.3">
      <c r="A204" s="2">
        <v>203</v>
      </c>
      <c r="B204" s="3" t="s">
        <v>300</v>
      </c>
      <c r="C204" s="3" t="s">
        <v>301</v>
      </c>
      <c r="D204" s="18" t="s">
        <v>347</v>
      </c>
      <c r="E204" s="5">
        <v>384</v>
      </c>
      <c r="F204" s="6">
        <f>384/865</f>
        <v>0.44393063583815029</v>
      </c>
      <c r="G204" s="7" t="s">
        <v>17</v>
      </c>
      <c r="H204" s="5">
        <v>173</v>
      </c>
      <c r="I204" s="6">
        <f>173/788</f>
        <v>0.21954314720812182</v>
      </c>
      <c r="J204" s="7" t="s">
        <v>18</v>
      </c>
      <c r="K204" s="5">
        <v>-211</v>
      </c>
      <c r="L204" s="8">
        <f t="shared" si="3"/>
        <v>-0.22438748863002847</v>
      </c>
      <c r="M204" s="5">
        <v>116</v>
      </c>
      <c r="N204" s="5">
        <v>788</v>
      </c>
    </row>
    <row r="205" spans="1:14" ht="19.95" customHeight="1" x14ac:dyDescent="0.3">
      <c r="A205" s="9">
        <v>204</v>
      </c>
      <c r="B205" s="10" t="s">
        <v>300</v>
      </c>
      <c r="C205" s="10" t="s">
        <v>301</v>
      </c>
      <c r="D205" s="11" t="s">
        <v>21</v>
      </c>
      <c r="E205" s="12">
        <v>317</v>
      </c>
      <c r="F205" s="13">
        <f>317/852</f>
        <v>0.3720657276995305</v>
      </c>
      <c r="G205" s="14" t="s">
        <v>17</v>
      </c>
      <c r="H205" s="12">
        <v>217</v>
      </c>
      <c r="I205" s="13">
        <f>217/736</f>
        <v>0.29483695652173914</v>
      </c>
      <c r="J205" s="14" t="s">
        <v>17</v>
      </c>
      <c r="K205" s="12">
        <v>-100</v>
      </c>
      <c r="L205" s="15">
        <f t="shared" si="3"/>
        <v>-7.7228771177791367E-2</v>
      </c>
      <c r="M205" s="12">
        <v>25</v>
      </c>
      <c r="N205" s="12">
        <v>736</v>
      </c>
    </row>
    <row r="206" spans="1:14" ht="19.95" customHeight="1" x14ac:dyDescent="0.3">
      <c r="A206" s="2">
        <v>205</v>
      </c>
      <c r="B206" s="3" t="s">
        <v>302</v>
      </c>
      <c r="C206" s="3" t="s">
        <v>303</v>
      </c>
      <c r="D206" s="16" t="s">
        <v>26</v>
      </c>
      <c r="E206" s="5">
        <v>195</v>
      </c>
      <c r="F206" s="6">
        <f>195/613</f>
        <v>0.31810766721044048</v>
      </c>
      <c r="G206" s="7" t="s">
        <v>27</v>
      </c>
      <c r="H206" s="5">
        <v>194</v>
      </c>
      <c r="I206" s="6">
        <f>194/547</f>
        <v>0.3546617915904936</v>
      </c>
      <c r="J206" s="7" t="s">
        <v>18</v>
      </c>
      <c r="K206" s="5">
        <v>-1</v>
      </c>
      <c r="L206" s="8">
        <f t="shared" si="3"/>
        <v>3.6554124380053121E-2</v>
      </c>
      <c r="M206" s="5">
        <v>44</v>
      </c>
      <c r="N206" s="5">
        <v>547</v>
      </c>
    </row>
    <row r="207" spans="1:14" ht="19.95" customHeight="1" x14ac:dyDescent="0.3">
      <c r="A207" s="9">
        <v>206</v>
      </c>
      <c r="B207" s="10" t="s">
        <v>302</v>
      </c>
      <c r="C207" s="10" t="s">
        <v>303</v>
      </c>
      <c r="D207" s="11" t="s">
        <v>21</v>
      </c>
      <c r="E207" s="12">
        <v>209</v>
      </c>
      <c r="F207" s="13">
        <f>209/510</f>
        <v>0.40980392156862744</v>
      </c>
      <c r="G207" s="14" t="s">
        <v>17</v>
      </c>
      <c r="H207" s="12">
        <v>200</v>
      </c>
      <c r="I207" s="13">
        <f>200/442</f>
        <v>0.45248868778280543</v>
      </c>
      <c r="J207" s="14" t="s">
        <v>17</v>
      </c>
      <c r="K207" s="12">
        <v>-9</v>
      </c>
      <c r="L207" s="15">
        <f t="shared" si="3"/>
        <v>4.2684766214177994E-2</v>
      </c>
      <c r="M207" s="12">
        <v>16</v>
      </c>
      <c r="N207" s="12">
        <v>442</v>
      </c>
    </row>
    <row r="208" spans="1:14" ht="19.95" customHeight="1" x14ac:dyDescent="0.3">
      <c r="A208" s="2">
        <v>207</v>
      </c>
      <c r="B208" s="3" t="s">
        <v>304</v>
      </c>
      <c r="C208" s="3" t="s">
        <v>305</v>
      </c>
      <c r="D208" s="11" t="s">
        <v>21</v>
      </c>
      <c r="E208" s="5">
        <v>308</v>
      </c>
      <c r="F208" s="6">
        <f>308/581</f>
        <v>0.53012048192771088</v>
      </c>
      <c r="G208" s="7" t="s">
        <v>17</v>
      </c>
      <c r="H208" s="5">
        <v>191</v>
      </c>
      <c r="I208" s="6">
        <f>191/499</f>
        <v>0.38276553106212424</v>
      </c>
      <c r="J208" s="7" t="s">
        <v>17</v>
      </c>
      <c r="K208" s="5">
        <v>-117</v>
      </c>
      <c r="L208" s="8">
        <f t="shared" si="3"/>
        <v>-0.14735495086558664</v>
      </c>
      <c r="M208" s="5">
        <v>55</v>
      </c>
      <c r="N208" s="5">
        <v>499</v>
      </c>
    </row>
    <row r="209" spans="1:14" ht="19.95" customHeight="1" x14ac:dyDescent="0.3">
      <c r="A209" s="9">
        <v>208</v>
      </c>
      <c r="B209" s="10" t="s">
        <v>306</v>
      </c>
      <c r="C209" s="10" t="s">
        <v>307</v>
      </c>
      <c r="D209" s="11" t="s">
        <v>21</v>
      </c>
      <c r="E209" s="12">
        <v>240</v>
      </c>
      <c r="F209" s="13">
        <f>240/550</f>
        <v>0.43636363636363634</v>
      </c>
      <c r="G209" s="14" t="s">
        <v>17</v>
      </c>
      <c r="H209" s="12">
        <v>213</v>
      </c>
      <c r="I209" s="13">
        <f>213/527</f>
        <v>0.40417457305502846</v>
      </c>
      <c r="J209" s="14" t="s">
        <v>17</v>
      </c>
      <c r="K209" s="12">
        <v>-27</v>
      </c>
      <c r="L209" s="15">
        <f t="shared" si="3"/>
        <v>-3.2189063308607879E-2</v>
      </c>
      <c r="M209" s="12">
        <v>29</v>
      </c>
      <c r="N209" s="12">
        <v>527</v>
      </c>
    </row>
    <row r="210" spans="1:14" ht="19.95" customHeight="1" x14ac:dyDescent="0.3">
      <c r="A210" s="2">
        <v>209</v>
      </c>
      <c r="B210" s="3" t="s">
        <v>308</v>
      </c>
      <c r="C210" s="3" t="s">
        <v>309</v>
      </c>
      <c r="D210" s="11" t="s">
        <v>21</v>
      </c>
      <c r="E210" s="5">
        <v>496</v>
      </c>
      <c r="F210" s="6">
        <f>496/864</f>
        <v>0.57407407407407407</v>
      </c>
      <c r="G210" s="7" t="s">
        <v>17</v>
      </c>
      <c r="H210" s="5">
        <v>353</v>
      </c>
      <c r="I210" s="6">
        <f>353/765</f>
        <v>0.46143790849673205</v>
      </c>
      <c r="J210" s="7" t="s">
        <v>17</v>
      </c>
      <c r="K210" s="5">
        <v>-143</v>
      </c>
      <c r="L210" s="8">
        <f t="shared" si="3"/>
        <v>-0.11263616557734202</v>
      </c>
      <c r="M210" s="5">
        <v>37</v>
      </c>
      <c r="N210" s="5">
        <v>765</v>
      </c>
    </row>
    <row r="211" spans="1:14" ht="19.95" customHeight="1" x14ac:dyDescent="0.3">
      <c r="A211" s="9">
        <v>210</v>
      </c>
      <c r="B211" s="10" t="s">
        <v>310</v>
      </c>
      <c r="C211" s="10" t="s">
        <v>311</v>
      </c>
      <c r="D211" s="11" t="s">
        <v>21</v>
      </c>
      <c r="E211" s="12">
        <v>380</v>
      </c>
      <c r="F211" s="13">
        <f>380/619</f>
        <v>0.61389337641357022</v>
      </c>
      <c r="G211" s="14" t="s">
        <v>17</v>
      </c>
      <c r="H211" s="12">
        <v>240</v>
      </c>
      <c r="I211" s="13">
        <f>240/579</f>
        <v>0.41450777202072536</v>
      </c>
      <c r="J211" s="14" t="s">
        <v>17</v>
      </c>
      <c r="K211" s="12">
        <v>-140</v>
      </c>
      <c r="L211" s="15">
        <f t="shared" si="3"/>
        <v>-0.19938560439284486</v>
      </c>
      <c r="M211" s="12">
        <v>50</v>
      </c>
      <c r="N211" s="12">
        <v>579</v>
      </c>
    </row>
    <row r="212" spans="1:14" ht="19.95" customHeight="1" x14ac:dyDescent="0.3">
      <c r="A212" s="2">
        <v>211</v>
      </c>
      <c r="B212" s="3" t="s">
        <v>312</v>
      </c>
      <c r="C212" s="3" t="s">
        <v>313</v>
      </c>
      <c r="D212" s="11" t="s">
        <v>21</v>
      </c>
      <c r="E212" s="5">
        <v>271</v>
      </c>
      <c r="F212" s="6">
        <f>271/648</f>
        <v>0.4182098765432099</v>
      </c>
      <c r="G212" s="7" t="s">
        <v>17</v>
      </c>
      <c r="H212" s="5">
        <v>235</v>
      </c>
      <c r="I212" s="6">
        <f>235/588</f>
        <v>0.39965986394557823</v>
      </c>
      <c r="J212" s="7" t="s">
        <v>17</v>
      </c>
      <c r="K212" s="5">
        <v>-36</v>
      </c>
      <c r="L212" s="8">
        <f t="shared" si="3"/>
        <v>-1.8550012597631671E-2</v>
      </c>
      <c r="M212" s="5">
        <v>54</v>
      </c>
      <c r="N212" s="5">
        <v>588</v>
      </c>
    </row>
    <row r="213" spans="1:14" ht="19.95" customHeight="1" x14ac:dyDescent="0.3">
      <c r="A213" s="9">
        <v>212</v>
      </c>
      <c r="B213" s="10" t="s">
        <v>314</v>
      </c>
      <c r="C213" s="10" t="s">
        <v>315</v>
      </c>
      <c r="D213" s="11" t="s">
        <v>21</v>
      </c>
      <c r="E213" s="12">
        <v>450</v>
      </c>
      <c r="F213" s="13">
        <f>450/815</f>
        <v>0.55214723926380371</v>
      </c>
      <c r="G213" s="14" t="s">
        <v>17</v>
      </c>
      <c r="H213" s="12">
        <v>556</v>
      </c>
      <c r="I213" s="13">
        <f>556/853</f>
        <v>0.65181711606096127</v>
      </c>
      <c r="J213" s="14" t="s">
        <v>17</v>
      </c>
      <c r="K213" s="12">
        <v>106</v>
      </c>
      <c r="L213" s="15">
        <f t="shared" si="3"/>
        <v>9.9669876797157553E-2</v>
      </c>
      <c r="M213" s="12">
        <v>343</v>
      </c>
      <c r="N213" s="12">
        <v>853</v>
      </c>
    </row>
    <row r="214" spans="1:14" ht="19.95" customHeight="1" x14ac:dyDescent="0.3">
      <c r="A214" s="2">
        <v>213</v>
      </c>
      <c r="B214" s="3" t="s">
        <v>316</v>
      </c>
      <c r="C214" s="3" t="s">
        <v>317</v>
      </c>
      <c r="D214" s="11" t="s">
        <v>21</v>
      </c>
      <c r="E214" s="5">
        <v>326</v>
      </c>
      <c r="F214" s="6">
        <f>326/815</f>
        <v>0.4</v>
      </c>
      <c r="G214" s="7" t="s">
        <v>17</v>
      </c>
      <c r="H214" s="5">
        <v>279</v>
      </c>
      <c r="I214" s="6">
        <f>279/637</f>
        <v>0.43799058084772369</v>
      </c>
      <c r="J214" s="7" t="s">
        <v>17</v>
      </c>
      <c r="K214" s="5">
        <v>-47</v>
      </c>
      <c r="L214" s="8">
        <f t="shared" si="3"/>
        <v>3.7990580847723665E-2</v>
      </c>
      <c r="M214" s="5">
        <v>81</v>
      </c>
      <c r="N214" s="5">
        <v>637</v>
      </c>
    </row>
    <row r="215" spans="1:14" ht="19.95" customHeight="1" x14ac:dyDescent="0.3">
      <c r="A215" s="9">
        <v>214</v>
      </c>
      <c r="B215" s="10" t="s">
        <v>318</v>
      </c>
      <c r="C215" s="10" t="s">
        <v>319</v>
      </c>
      <c r="D215" s="18" t="s">
        <v>65</v>
      </c>
      <c r="E215" s="12">
        <v>183</v>
      </c>
      <c r="F215" s="13">
        <f>183/594</f>
        <v>0.30808080808080807</v>
      </c>
      <c r="G215" s="14" t="s">
        <v>17</v>
      </c>
      <c r="H215" s="12">
        <v>140</v>
      </c>
      <c r="I215" s="13">
        <f>140/500</f>
        <v>0.28000000000000003</v>
      </c>
      <c r="J215" s="14" t="s">
        <v>66</v>
      </c>
      <c r="K215" s="12">
        <v>-43</v>
      </c>
      <c r="L215" s="15">
        <f t="shared" si="3"/>
        <v>-2.808080808080804E-2</v>
      </c>
      <c r="M215" s="12">
        <v>1</v>
      </c>
      <c r="N215" s="12">
        <v>500</v>
      </c>
    </row>
    <row r="216" spans="1:14" ht="19.95" customHeight="1" x14ac:dyDescent="0.3">
      <c r="A216" s="2">
        <v>215</v>
      </c>
      <c r="B216" s="3" t="s">
        <v>318</v>
      </c>
      <c r="C216" s="3" t="s">
        <v>319</v>
      </c>
      <c r="D216" s="11" t="s">
        <v>21</v>
      </c>
      <c r="E216" s="5">
        <v>236</v>
      </c>
      <c r="F216" s="6">
        <f>236/586</f>
        <v>0.40273037542662116</v>
      </c>
      <c r="G216" s="7" t="s">
        <v>17</v>
      </c>
      <c r="H216" s="5">
        <v>237</v>
      </c>
      <c r="I216" s="6">
        <f>237/529</f>
        <v>0.44801512287334594</v>
      </c>
      <c r="J216" s="7" t="s">
        <v>17</v>
      </c>
      <c r="K216" s="5">
        <v>1</v>
      </c>
      <c r="L216" s="8">
        <f t="shared" si="3"/>
        <v>4.5284747446724782E-2</v>
      </c>
      <c r="M216" s="5">
        <v>56</v>
      </c>
      <c r="N216" s="5">
        <v>529</v>
      </c>
    </row>
    <row r="217" spans="1:14" ht="19.95" customHeight="1" x14ac:dyDescent="0.3">
      <c r="A217" s="9">
        <v>216</v>
      </c>
      <c r="B217" s="10" t="s">
        <v>320</v>
      </c>
      <c r="C217" s="10" t="s">
        <v>321</v>
      </c>
      <c r="D217" s="4" t="s">
        <v>16</v>
      </c>
      <c r="E217" s="12">
        <v>70</v>
      </c>
      <c r="F217" s="13">
        <f>70/332</f>
        <v>0.21084337349397592</v>
      </c>
      <c r="G217" s="14" t="s">
        <v>27</v>
      </c>
      <c r="H217" s="12">
        <v>132</v>
      </c>
      <c r="I217" s="13">
        <f>132/328</f>
        <v>0.40243902439024393</v>
      </c>
      <c r="J217" s="14" t="s">
        <v>17</v>
      </c>
      <c r="K217" s="12">
        <v>62</v>
      </c>
      <c r="L217" s="15">
        <f t="shared" si="3"/>
        <v>0.19159565089626801</v>
      </c>
      <c r="M217" s="12">
        <v>17</v>
      </c>
      <c r="N217" s="12">
        <v>328</v>
      </c>
    </row>
    <row r="218" spans="1:14" ht="19.95" customHeight="1" x14ac:dyDescent="0.3">
      <c r="A218" s="2">
        <v>217</v>
      </c>
      <c r="B218" s="3" t="s">
        <v>322</v>
      </c>
      <c r="C218" s="3" t="s">
        <v>323</v>
      </c>
      <c r="D218" s="11" t="s">
        <v>21</v>
      </c>
      <c r="E218" s="5">
        <v>199</v>
      </c>
      <c r="F218" s="6">
        <f>199/463</f>
        <v>0.42980561555075592</v>
      </c>
      <c r="G218" s="7" t="s">
        <v>17</v>
      </c>
      <c r="H218" s="5">
        <v>230</v>
      </c>
      <c r="I218" s="6">
        <f>230/440</f>
        <v>0.52272727272727271</v>
      </c>
      <c r="J218" s="7" t="s">
        <v>17</v>
      </c>
      <c r="K218" s="5">
        <v>31</v>
      </c>
      <c r="L218" s="8">
        <f t="shared" si="3"/>
        <v>9.2921657176516792E-2</v>
      </c>
      <c r="M218" s="5">
        <v>141</v>
      </c>
      <c r="N218" s="5">
        <v>440</v>
      </c>
    </row>
    <row r="219" spans="1:14" ht="19.95" customHeight="1" x14ac:dyDescent="0.3">
      <c r="A219" s="9">
        <v>218</v>
      </c>
      <c r="B219" s="10" t="s">
        <v>324</v>
      </c>
      <c r="C219" s="10" t="s">
        <v>325</v>
      </c>
      <c r="D219" s="4" t="s">
        <v>16</v>
      </c>
      <c r="E219" s="12">
        <v>143</v>
      </c>
      <c r="F219" s="13">
        <f>143/707</f>
        <v>0.20226308345120225</v>
      </c>
      <c r="G219" s="14" t="s">
        <v>18</v>
      </c>
      <c r="H219" s="12">
        <v>277</v>
      </c>
      <c r="I219" s="13">
        <f>277/636</f>
        <v>0.43553459119496857</v>
      </c>
      <c r="J219" s="14" t="s">
        <v>17</v>
      </c>
      <c r="K219" s="12">
        <v>134</v>
      </c>
      <c r="L219" s="15">
        <f t="shared" si="3"/>
        <v>0.23327150774376632</v>
      </c>
      <c r="M219" s="12">
        <v>99</v>
      </c>
      <c r="N219" s="12">
        <v>636</v>
      </c>
    </row>
    <row r="220" spans="1:14" ht="19.95" customHeight="1" x14ac:dyDescent="0.3">
      <c r="A220" s="2">
        <v>219</v>
      </c>
      <c r="B220" s="3" t="s">
        <v>326</v>
      </c>
      <c r="C220" s="3" t="s">
        <v>327</v>
      </c>
      <c r="D220" s="11" t="s">
        <v>21</v>
      </c>
      <c r="E220" s="5">
        <v>140</v>
      </c>
      <c r="F220" s="6">
        <f>140/302</f>
        <v>0.46357615894039733</v>
      </c>
      <c r="G220" s="7" t="s">
        <v>17</v>
      </c>
      <c r="H220" s="5">
        <v>132</v>
      </c>
      <c r="I220" s="6">
        <f>132/285</f>
        <v>0.4631578947368421</v>
      </c>
      <c r="J220" s="7" t="s">
        <v>17</v>
      </c>
      <c r="K220" s="5">
        <v>-8</v>
      </c>
      <c r="L220" s="8">
        <f t="shared" si="3"/>
        <v>-4.1826420355522975E-4</v>
      </c>
      <c r="M220" s="5">
        <v>26</v>
      </c>
      <c r="N220" s="5">
        <v>285</v>
      </c>
    </row>
    <row r="221" spans="1:14" ht="19.95" customHeight="1" x14ac:dyDescent="0.3">
      <c r="A221" s="9">
        <v>220</v>
      </c>
      <c r="B221" s="10" t="s">
        <v>328</v>
      </c>
      <c r="C221" s="10" t="s">
        <v>329</v>
      </c>
      <c r="D221" s="4" t="s">
        <v>16</v>
      </c>
      <c r="E221" s="12">
        <v>152</v>
      </c>
      <c r="F221" s="13">
        <f>152/614</f>
        <v>0.24755700325732899</v>
      </c>
      <c r="G221" s="14" t="s">
        <v>18</v>
      </c>
      <c r="H221" s="12">
        <v>248</v>
      </c>
      <c r="I221" s="13">
        <f>248/576</f>
        <v>0.43055555555555558</v>
      </c>
      <c r="J221" s="14" t="s">
        <v>17</v>
      </c>
      <c r="K221" s="12">
        <v>96</v>
      </c>
      <c r="L221" s="15">
        <f t="shared" si="3"/>
        <v>0.18299855229822659</v>
      </c>
      <c r="M221" s="12">
        <v>96</v>
      </c>
      <c r="N221" s="12">
        <v>576</v>
      </c>
    </row>
    <row r="222" spans="1:14" ht="19.95" customHeight="1" x14ac:dyDescent="0.3">
      <c r="A222" s="2">
        <v>221</v>
      </c>
      <c r="B222" s="3" t="s">
        <v>330</v>
      </c>
      <c r="C222" s="3" t="s">
        <v>331</v>
      </c>
      <c r="D222" s="16" t="s">
        <v>26</v>
      </c>
      <c r="E222" s="5">
        <v>176</v>
      </c>
      <c r="F222" s="6">
        <f>176/485</f>
        <v>0.36288659793814432</v>
      </c>
      <c r="G222" s="7" t="s">
        <v>18</v>
      </c>
      <c r="H222" s="5">
        <v>95</v>
      </c>
      <c r="I222" s="6">
        <f>95/471</f>
        <v>0.20169851380042464</v>
      </c>
      <c r="J222" s="7" t="s">
        <v>18</v>
      </c>
      <c r="K222" s="5">
        <v>-81</v>
      </c>
      <c r="L222" s="8">
        <f t="shared" si="3"/>
        <v>-0.16118808413771968</v>
      </c>
      <c r="M222" s="5">
        <v>39</v>
      </c>
      <c r="N222" s="5">
        <v>471</v>
      </c>
    </row>
    <row r="223" spans="1:14" ht="19.95" customHeight="1" x14ac:dyDescent="0.3">
      <c r="A223" s="9">
        <v>222</v>
      </c>
      <c r="B223" s="10" t="s">
        <v>332</v>
      </c>
      <c r="C223" s="10" t="s">
        <v>333</v>
      </c>
      <c r="D223" s="11" t="s">
        <v>21</v>
      </c>
      <c r="E223" s="12">
        <v>258</v>
      </c>
      <c r="F223" s="13">
        <f>258/523</f>
        <v>0.49330783938814532</v>
      </c>
      <c r="G223" s="14" t="s">
        <v>17</v>
      </c>
      <c r="H223" s="12">
        <v>227</v>
      </c>
      <c r="I223" s="13">
        <f>227/480</f>
        <v>0.47291666666666665</v>
      </c>
      <c r="J223" s="14" t="s">
        <v>17</v>
      </c>
      <c r="K223" s="12">
        <v>-31</v>
      </c>
      <c r="L223" s="15">
        <f t="shared" si="3"/>
        <v>-2.0391172721478668E-2</v>
      </c>
      <c r="M223" s="12">
        <v>104</v>
      </c>
      <c r="N223" s="12">
        <v>480</v>
      </c>
    </row>
    <row r="224" spans="1:14" ht="19.95" customHeight="1" x14ac:dyDescent="0.3">
      <c r="A224" s="2">
        <v>223</v>
      </c>
      <c r="B224" s="3" t="s">
        <v>334</v>
      </c>
      <c r="C224" s="3" t="s">
        <v>335</v>
      </c>
      <c r="D224" s="18" t="s">
        <v>73</v>
      </c>
      <c r="E224" s="5">
        <v>255</v>
      </c>
      <c r="F224" s="6">
        <f>255/505</f>
        <v>0.50495049504950495</v>
      </c>
      <c r="G224" s="7" t="s">
        <v>17</v>
      </c>
      <c r="H224" s="5">
        <v>171</v>
      </c>
      <c r="I224" s="6">
        <f>171/464</f>
        <v>0.36853448275862066</v>
      </c>
      <c r="J224" s="7" t="s">
        <v>27</v>
      </c>
      <c r="K224" s="5">
        <v>-84</v>
      </c>
      <c r="L224" s="8">
        <f t="shared" si="3"/>
        <v>-0.13641601229088429</v>
      </c>
      <c r="M224" s="5">
        <v>35</v>
      </c>
      <c r="N224" s="5">
        <v>464</v>
      </c>
    </row>
    <row r="225" spans="1:14" ht="24" customHeight="1" x14ac:dyDescent="0.3">
      <c r="A225" s="24" t="s">
        <v>336</v>
      </c>
      <c r="B225" s="24" t="s">
        <v>337</v>
      </c>
      <c r="C225" s="24" t="s">
        <v>338</v>
      </c>
      <c r="D225" s="24" t="s">
        <v>348</v>
      </c>
      <c r="E225" s="25">
        <f>SUM(E2:E224)</f>
        <v>48116</v>
      </c>
      <c r="F225" s="26">
        <f>E225/SUM(N2:N224)</f>
        <v>0.40436671681051506</v>
      </c>
      <c r="G225" s="24" t="s">
        <v>340</v>
      </c>
      <c r="H225" s="25">
        <f>SUM(H2:H224)</f>
        <v>41806</v>
      </c>
      <c r="I225" s="26">
        <f>H225/SUM(N2:N224)</f>
        <v>0.3513374961131514</v>
      </c>
      <c r="J225" s="24" t="s">
        <v>341</v>
      </c>
      <c r="K225" s="25">
        <f>H225-E225</f>
        <v>-6310</v>
      </c>
      <c r="L225" s="27">
        <f t="shared" si="3"/>
        <v>-5.3029220697363655E-2</v>
      </c>
      <c r="M225" s="25">
        <f>SUM(M2:M224)</f>
        <v>17926</v>
      </c>
      <c r="N225" s="25">
        <f>SUM(N2:N224)</f>
        <v>118991</v>
      </c>
    </row>
  </sheetData>
  <pageMargins left="0.6" right="0.6" top="0.75" bottom="0.75" header="0" footer="0"/>
  <pageSetup scale="4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7"/>
  <sheetViews>
    <sheetView workbookViewId="0"/>
  </sheetViews>
  <sheetFormatPr defaultRowHeight="14.4" x14ac:dyDescent="0.3"/>
  <cols>
    <col min="1" max="1" width="32" customWidth="1"/>
    <col min="2" max="2" width="28" customWidth="1"/>
    <col min="3" max="3" width="45" customWidth="1"/>
    <col min="4" max="4" width="17" customWidth="1"/>
    <col min="5" max="5" width="19" customWidth="1"/>
    <col min="6" max="6" width="14" customWidth="1"/>
    <col min="7" max="7" width="16" customWidth="1"/>
  </cols>
  <sheetData>
    <row r="1" spans="1:7" ht="18" x14ac:dyDescent="0.35">
      <c r="A1" s="28" t="s">
        <v>349</v>
      </c>
    </row>
    <row r="2" spans="1:7" x14ac:dyDescent="0.3">
      <c r="A2" s="29" t="s">
        <v>350</v>
      </c>
    </row>
    <row r="4" spans="1:7" x14ac:dyDescent="0.3">
      <c r="A4" s="30" t="s">
        <v>351</v>
      </c>
      <c r="B4" s="30" t="s">
        <v>352</v>
      </c>
      <c r="C4" s="30" t="s">
        <v>353</v>
      </c>
    </row>
    <row r="5" spans="1:7" x14ac:dyDescent="0.3">
      <c r="A5" s="31" t="s">
        <v>354</v>
      </c>
      <c r="B5" s="32">
        <v>18</v>
      </c>
      <c r="C5" s="33" t="s">
        <v>355</v>
      </c>
    </row>
    <row r="6" spans="1:7" x14ac:dyDescent="0.3">
      <c r="A6" s="34" t="s">
        <v>356</v>
      </c>
      <c r="B6" s="35">
        <v>63</v>
      </c>
      <c r="C6" s="33" t="s">
        <v>357</v>
      </c>
    </row>
    <row r="7" spans="1:7" x14ac:dyDescent="0.3">
      <c r="A7" s="36" t="s">
        <v>358</v>
      </c>
      <c r="B7" s="37">
        <v>39</v>
      </c>
      <c r="C7" s="33" t="s">
        <v>359</v>
      </c>
    </row>
    <row r="8" spans="1:7" x14ac:dyDescent="0.3">
      <c r="A8" s="38" t="s">
        <v>360</v>
      </c>
      <c r="B8" s="39">
        <v>31</v>
      </c>
      <c r="C8" s="33" t="s">
        <v>361</v>
      </c>
    </row>
    <row r="9" spans="1:7" x14ac:dyDescent="0.3">
      <c r="A9" s="40" t="s">
        <v>26</v>
      </c>
      <c r="B9" s="41">
        <v>103</v>
      </c>
      <c r="C9" s="33" t="s">
        <v>362</v>
      </c>
    </row>
    <row r="12" spans="1:7" x14ac:dyDescent="0.3">
      <c r="A12" s="42" t="s">
        <v>363</v>
      </c>
    </row>
    <row r="13" spans="1:7" x14ac:dyDescent="0.3">
      <c r="A13" s="43" t="s">
        <v>0</v>
      </c>
      <c r="B13" s="43" t="s">
        <v>364</v>
      </c>
      <c r="C13" s="43" t="s">
        <v>365</v>
      </c>
      <c r="D13" s="43" t="s">
        <v>7</v>
      </c>
      <c r="E13" s="43" t="s">
        <v>366</v>
      </c>
      <c r="F13" s="43" t="s">
        <v>12</v>
      </c>
      <c r="G13" s="43" t="s">
        <v>367</v>
      </c>
    </row>
    <row r="14" spans="1:7" x14ac:dyDescent="0.3">
      <c r="A14" s="44">
        <v>144</v>
      </c>
      <c r="B14" s="10" t="s">
        <v>206</v>
      </c>
      <c r="C14" s="10" t="s">
        <v>207</v>
      </c>
      <c r="D14" s="44">
        <v>700</v>
      </c>
      <c r="E14" s="44" t="s">
        <v>368</v>
      </c>
      <c r="F14" s="44" t="s">
        <v>369</v>
      </c>
      <c r="G14" s="44" t="s">
        <v>370</v>
      </c>
    </row>
    <row r="15" spans="1:7" x14ac:dyDescent="0.3">
      <c r="A15" s="44">
        <v>126</v>
      </c>
      <c r="B15" s="10" t="s">
        <v>174</v>
      </c>
      <c r="C15" s="10" t="s">
        <v>175</v>
      </c>
      <c r="D15" s="44">
        <v>388</v>
      </c>
      <c r="E15" s="44" t="s">
        <v>371</v>
      </c>
      <c r="F15" s="44" t="s">
        <v>372</v>
      </c>
      <c r="G15" s="44" t="s">
        <v>373</v>
      </c>
    </row>
    <row r="16" spans="1:7" x14ac:dyDescent="0.3">
      <c r="A16" s="44">
        <v>115</v>
      </c>
      <c r="B16" s="10" t="s">
        <v>156</v>
      </c>
      <c r="C16" s="10" t="s">
        <v>157</v>
      </c>
      <c r="D16" s="44">
        <v>373</v>
      </c>
      <c r="E16" s="44" t="s">
        <v>374</v>
      </c>
      <c r="F16" s="44" t="s">
        <v>375</v>
      </c>
      <c r="G16" s="44" t="s">
        <v>376</v>
      </c>
    </row>
    <row r="17" spans="1:7" x14ac:dyDescent="0.3">
      <c r="A17" s="44">
        <v>61</v>
      </c>
      <c r="B17" s="10" t="s">
        <v>82</v>
      </c>
      <c r="C17" s="10" t="s">
        <v>83</v>
      </c>
      <c r="D17" s="44">
        <v>365</v>
      </c>
      <c r="E17" s="44" t="s">
        <v>377</v>
      </c>
      <c r="F17" s="44" t="s">
        <v>378</v>
      </c>
      <c r="G17" s="44" t="s">
        <v>379</v>
      </c>
    </row>
    <row r="18" spans="1:7" x14ac:dyDescent="0.3">
      <c r="A18" s="44">
        <v>73</v>
      </c>
      <c r="B18" s="10" t="s">
        <v>96</v>
      </c>
      <c r="C18" s="10" t="s">
        <v>97</v>
      </c>
      <c r="D18" s="44">
        <v>360</v>
      </c>
      <c r="E18" s="44" t="s">
        <v>380</v>
      </c>
      <c r="F18" s="44" t="s">
        <v>381</v>
      </c>
      <c r="G18" s="44" t="s">
        <v>382</v>
      </c>
    </row>
    <row r="19" spans="1:7" x14ac:dyDescent="0.3">
      <c r="A19" s="44">
        <v>53</v>
      </c>
      <c r="B19" s="10" t="s">
        <v>74</v>
      </c>
      <c r="C19" s="10" t="s">
        <v>75</v>
      </c>
      <c r="D19" s="44">
        <v>325</v>
      </c>
      <c r="E19" s="44" t="s">
        <v>383</v>
      </c>
      <c r="F19" s="44" t="s">
        <v>384</v>
      </c>
      <c r="G19" s="44" t="s">
        <v>385</v>
      </c>
    </row>
    <row r="20" spans="1:7" x14ac:dyDescent="0.3">
      <c r="A20" s="44">
        <v>209</v>
      </c>
      <c r="B20" s="10" t="s">
        <v>308</v>
      </c>
      <c r="C20" s="10" t="s">
        <v>309</v>
      </c>
      <c r="D20" s="44">
        <v>316</v>
      </c>
      <c r="E20" s="44" t="s">
        <v>386</v>
      </c>
      <c r="F20" s="44" t="s">
        <v>387</v>
      </c>
      <c r="G20" s="44" t="s">
        <v>388</v>
      </c>
    </row>
    <row r="21" spans="1:7" x14ac:dyDescent="0.3">
      <c r="A21" s="44">
        <v>203</v>
      </c>
      <c r="B21" s="10" t="s">
        <v>300</v>
      </c>
      <c r="C21" s="10" t="s">
        <v>301</v>
      </c>
      <c r="D21" s="44">
        <v>310</v>
      </c>
      <c r="E21" s="44" t="s">
        <v>389</v>
      </c>
      <c r="F21" s="44" t="s">
        <v>390</v>
      </c>
      <c r="G21" s="44" t="s">
        <v>391</v>
      </c>
    </row>
    <row r="22" spans="1:7" x14ac:dyDescent="0.3">
      <c r="A22" s="44">
        <v>85</v>
      </c>
      <c r="B22" s="10" t="s">
        <v>112</v>
      </c>
      <c r="C22" s="10" t="s">
        <v>113</v>
      </c>
      <c r="D22" s="44">
        <v>309</v>
      </c>
      <c r="E22" s="44" t="s">
        <v>392</v>
      </c>
      <c r="F22" s="44" t="s">
        <v>393</v>
      </c>
      <c r="G22" s="44" t="s">
        <v>394</v>
      </c>
    </row>
    <row r="23" spans="1:7" x14ac:dyDescent="0.3">
      <c r="A23" s="44">
        <v>108</v>
      </c>
      <c r="B23" s="10" t="s">
        <v>142</v>
      </c>
      <c r="C23" s="10" t="s">
        <v>143</v>
      </c>
      <c r="D23" s="44">
        <v>306</v>
      </c>
      <c r="E23" s="44" t="s">
        <v>395</v>
      </c>
      <c r="F23" s="44" t="s">
        <v>396</v>
      </c>
      <c r="G23" s="44" t="s">
        <v>376</v>
      </c>
    </row>
    <row r="24" spans="1:7" x14ac:dyDescent="0.3">
      <c r="A24" s="44">
        <v>48</v>
      </c>
      <c r="B24" s="10" t="s">
        <v>67</v>
      </c>
      <c r="C24" s="10" t="s">
        <v>68</v>
      </c>
      <c r="D24" s="44">
        <v>305</v>
      </c>
      <c r="E24" s="44" t="s">
        <v>397</v>
      </c>
      <c r="F24" s="44" t="s">
        <v>398</v>
      </c>
      <c r="G24" s="44" t="s">
        <v>399</v>
      </c>
    </row>
    <row r="25" spans="1:7" x14ac:dyDescent="0.3">
      <c r="A25" s="44">
        <v>54</v>
      </c>
      <c r="B25" s="10" t="s">
        <v>74</v>
      </c>
      <c r="C25" s="10" t="s">
        <v>75</v>
      </c>
      <c r="D25" s="44">
        <v>299</v>
      </c>
      <c r="E25" s="44" t="s">
        <v>400</v>
      </c>
      <c r="F25" s="44" t="s">
        <v>401</v>
      </c>
      <c r="G25" s="44" t="s">
        <v>402</v>
      </c>
    </row>
    <row r="26" spans="1:7" x14ac:dyDescent="0.3">
      <c r="A26" s="44">
        <v>138</v>
      </c>
      <c r="B26" s="10" t="s">
        <v>196</v>
      </c>
      <c r="C26" s="10" t="s">
        <v>197</v>
      </c>
      <c r="D26" s="44">
        <v>298</v>
      </c>
      <c r="E26" s="44" t="s">
        <v>403</v>
      </c>
      <c r="F26" s="44" t="s">
        <v>404</v>
      </c>
      <c r="G26" s="44" t="s">
        <v>405</v>
      </c>
    </row>
    <row r="27" spans="1:7" x14ac:dyDescent="0.3">
      <c r="A27" s="44">
        <v>50</v>
      </c>
      <c r="B27" s="10" t="s">
        <v>69</v>
      </c>
      <c r="C27" s="10" t="s">
        <v>70</v>
      </c>
      <c r="D27" s="44">
        <v>297</v>
      </c>
      <c r="E27" s="44" t="s">
        <v>406</v>
      </c>
      <c r="F27" s="44" t="s">
        <v>407</v>
      </c>
      <c r="G27" s="44" t="s">
        <v>408</v>
      </c>
    </row>
    <row r="28" spans="1:7" x14ac:dyDescent="0.3">
      <c r="A28" s="44">
        <v>59</v>
      </c>
      <c r="B28" s="10" t="s">
        <v>80</v>
      </c>
      <c r="C28" s="10" t="s">
        <v>81</v>
      </c>
      <c r="D28" s="44">
        <v>290</v>
      </c>
      <c r="E28" s="44" t="s">
        <v>409</v>
      </c>
      <c r="F28" s="44" t="s">
        <v>404</v>
      </c>
      <c r="G28" s="44" t="s">
        <v>410</v>
      </c>
    </row>
    <row r="31" spans="1:7" x14ac:dyDescent="0.3">
      <c r="A31" s="42" t="s">
        <v>411</v>
      </c>
    </row>
    <row r="32" spans="1:7" x14ac:dyDescent="0.3">
      <c r="A32" s="45" t="s">
        <v>0</v>
      </c>
      <c r="B32" s="45" t="s">
        <v>364</v>
      </c>
      <c r="C32" s="45" t="s">
        <v>365</v>
      </c>
      <c r="D32" s="45" t="s">
        <v>7</v>
      </c>
      <c r="E32" s="45" t="s">
        <v>366</v>
      </c>
      <c r="F32" s="45" t="s">
        <v>9</v>
      </c>
      <c r="G32" s="45" t="s">
        <v>412</v>
      </c>
    </row>
    <row r="33" spans="1:7" x14ac:dyDescent="0.3">
      <c r="A33" s="44">
        <v>132</v>
      </c>
      <c r="B33" s="10" t="s">
        <v>186</v>
      </c>
      <c r="C33" s="10" t="s">
        <v>187</v>
      </c>
      <c r="D33" s="44">
        <v>31</v>
      </c>
      <c r="E33" s="44" t="s">
        <v>413</v>
      </c>
      <c r="F33" s="44" t="s">
        <v>17</v>
      </c>
      <c r="G33" s="44" t="s">
        <v>414</v>
      </c>
    </row>
    <row r="34" spans="1:7" x14ac:dyDescent="0.3">
      <c r="A34" s="44">
        <v>180</v>
      </c>
      <c r="B34" s="10" t="s">
        <v>264</v>
      </c>
      <c r="C34" s="10" t="s">
        <v>265</v>
      </c>
      <c r="D34" s="44">
        <v>37</v>
      </c>
      <c r="E34" s="44" t="s">
        <v>415</v>
      </c>
      <c r="F34" s="44" t="s">
        <v>66</v>
      </c>
      <c r="G34" s="44" t="s">
        <v>416</v>
      </c>
    </row>
    <row r="35" spans="1:7" x14ac:dyDescent="0.3">
      <c r="A35" s="44">
        <v>175</v>
      </c>
      <c r="B35" s="10" t="s">
        <v>256</v>
      </c>
      <c r="C35" s="10" t="s">
        <v>257</v>
      </c>
      <c r="D35" s="44">
        <v>52</v>
      </c>
      <c r="E35" s="44" t="s">
        <v>417</v>
      </c>
      <c r="F35" s="44" t="s">
        <v>66</v>
      </c>
      <c r="G35" s="44" t="s">
        <v>418</v>
      </c>
    </row>
    <row r="36" spans="1:7" x14ac:dyDescent="0.3">
      <c r="A36" s="44">
        <v>210</v>
      </c>
      <c r="B36" s="10" t="s">
        <v>310</v>
      </c>
      <c r="C36" s="10" t="s">
        <v>311</v>
      </c>
      <c r="D36" s="44">
        <v>60</v>
      </c>
      <c r="E36" s="44" t="s">
        <v>419</v>
      </c>
      <c r="F36" s="44" t="s">
        <v>17</v>
      </c>
      <c r="G36" s="44" t="s">
        <v>420</v>
      </c>
    </row>
    <row r="37" spans="1:7" x14ac:dyDescent="0.3">
      <c r="A37" s="44">
        <v>166</v>
      </c>
      <c r="B37" s="10" t="s">
        <v>240</v>
      </c>
      <c r="C37" s="10" t="s">
        <v>241</v>
      </c>
      <c r="D37" s="44">
        <v>69</v>
      </c>
      <c r="E37" s="44" t="s">
        <v>421</v>
      </c>
      <c r="F37" s="44" t="s">
        <v>17</v>
      </c>
      <c r="G37" s="44" t="s">
        <v>422</v>
      </c>
    </row>
    <row r="38" spans="1:7" x14ac:dyDescent="0.3">
      <c r="A38" s="44">
        <v>223</v>
      </c>
      <c r="B38" s="10" t="s">
        <v>334</v>
      </c>
      <c r="C38" s="10" t="s">
        <v>335</v>
      </c>
      <c r="D38" s="44">
        <v>57</v>
      </c>
      <c r="E38" s="44" t="s">
        <v>423</v>
      </c>
      <c r="F38" s="44" t="s">
        <v>27</v>
      </c>
      <c r="G38" s="44" t="s">
        <v>424</v>
      </c>
    </row>
    <row r="39" spans="1:7" x14ac:dyDescent="0.3">
      <c r="A39" s="44">
        <v>107</v>
      </c>
      <c r="B39" s="10" t="s">
        <v>140</v>
      </c>
      <c r="C39" s="10" t="s">
        <v>141</v>
      </c>
      <c r="D39" s="44">
        <v>29</v>
      </c>
      <c r="E39" s="44" t="s">
        <v>425</v>
      </c>
      <c r="F39" s="44" t="s">
        <v>66</v>
      </c>
      <c r="G39" s="44" t="s">
        <v>426</v>
      </c>
    </row>
    <row r="40" spans="1:7" x14ac:dyDescent="0.3">
      <c r="A40" s="44">
        <v>193</v>
      </c>
      <c r="B40" s="10" t="s">
        <v>280</v>
      </c>
      <c r="C40" s="10" t="s">
        <v>281</v>
      </c>
      <c r="D40" s="44">
        <v>32</v>
      </c>
      <c r="E40" s="44" t="s">
        <v>427</v>
      </c>
      <c r="F40" s="44" t="s">
        <v>17</v>
      </c>
      <c r="G40" s="44" t="s">
        <v>428</v>
      </c>
    </row>
    <row r="41" spans="1:7" x14ac:dyDescent="0.3">
      <c r="A41" s="44">
        <v>39</v>
      </c>
      <c r="B41" s="10" t="s">
        <v>52</v>
      </c>
      <c r="C41" s="10" t="s">
        <v>53</v>
      </c>
      <c r="D41" s="44">
        <v>29</v>
      </c>
      <c r="E41" s="44" t="s">
        <v>429</v>
      </c>
      <c r="F41" s="44" t="s">
        <v>17</v>
      </c>
      <c r="G41" s="44" t="s">
        <v>430</v>
      </c>
    </row>
    <row r="42" spans="1:7" x14ac:dyDescent="0.3">
      <c r="A42" s="44">
        <v>182</v>
      </c>
      <c r="B42" s="10" t="s">
        <v>266</v>
      </c>
      <c r="C42" s="10" t="s">
        <v>267</v>
      </c>
      <c r="D42" s="44">
        <v>34</v>
      </c>
      <c r="E42" s="44" t="s">
        <v>431</v>
      </c>
      <c r="F42" s="44" t="s">
        <v>66</v>
      </c>
      <c r="G42" s="44" t="s">
        <v>432</v>
      </c>
    </row>
    <row r="43" spans="1:7" x14ac:dyDescent="0.3">
      <c r="A43" s="44">
        <v>110</v>
      </c>
      <c r="B43" s="10" t="s">
        <v>146</v>
      </c>
      <c r="C43" s="10" t="s">
        <v>147</v>
      </c>
      <c r="D43" s="44">
        <v>85</v>
      </c>
      <c r="E43" s="44" t="s">
        <v>433</v>
      </c>
      <c r="F43" s="44" t="s">
        <v>17</v>
      </c>
      <c r="G43" s="44" t="s">
        <v>434</v>
      </c>
    </row>
    <row r="44" spans="1:7" x14ac:dyDescent="0.3">
      <c r="A44" s="44">
        <v>154</v>
      </c>
      <c r="B44" s="10" t="s">
        <v>224</v>
      </c>
      <c r="C44" s="10" t="s">
        <v>225</v>
      </c>
      <c r="D44" s="44">
        <v>90</v>
      </c>
      <c r="E44" s="44" t="s">
        <v>435</v>
      </c>
      <c r="F44" s="44" t="s">
        <v>17</v>
      </c>
      <c r="G44" s="44" t="s">
        <v>436</v>
      </c>
    </row>
    <row r="45" spans="1:7" x14ac:dyDescent="0.3">
      <c r="A45" s="44">
        <v>152</v>
      </c>
      <c r="B45" s="10" t="s">
        <v>220</v>
      </c>
      <c r="C45" s="10" t="s">
        <v>221</v>
      </c>
      <c r="D45" s="44">
        <v>117</v>
      </c>
      <c r="E45" s="44" t="s">
        <v>437</v>
      </c>
      <c r="F45" s="44" t="s">
        <v>66</v>
      </c>
      <c r="G45" s="44" t="s">
        <v>438</v>
      </c>
    </row>
    <row r="46" spans="1:7" x14ac:dyDescent="0.3">
      <c r="A46" s="44">
        <v>89</v>
      </c>
      <c r="B46" s="10" t="s">
        <v>120</v>
      </c>
      <c r="C46" s="10" t="s">
        <v>121</v>
      </c>
      <c r="D46" s="44">
        <v>77</v>
      </c>
      <c r="E46" s="44" t="s">
        <v>439</v>
      </c>
      <c r="F46" s="44" t="s">
        <v>17</v>
      </c>
      <c r="G46" s="44" t="s">
        <v>440</v>
      </c>
    </row>
    <row r="47" spans="1:7" x14ac:dyDescent="0.3">
      <c r="A47" s="44">
        <v>71</v>
      </c>
      <c r="B47" s="10" t="s">
        <v>94</v>
      </c>
      <c r="C47" s="10" t="s">
        <v>95</v>
      </c>
      <c r="D47" s="44">
        <v>104</v>
      </c>
      <c r="E47" s="44" t="s">
        <v>441</v>
      </c>
      <c r="F47" s="44" t="s">
        <v>17</v>
      </c>
      <c r="G47" s="44" t="s">
        <v>442</v>
      </c>
    </row>
  </sheetData>
  <pageMargins left="0.6" right="0.6" top="0.75" bottom="0.75" header="0" footer="0"/>
  <pageSetup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AAP Master Analysis</vt:lpstr>
      <vt:lpstr>INC Master Analysis</vt:lpstr>
      <vt:lpstr>AAP Strategy &amp; Booth Clusters</vt:lpstr>
      <vt:lpstr>'AAP Master Analysis'!Print_Titles</vt:lpstr>
      <vt:lpstr>'AAP Strategy &amp; Booth Clusters'!Print_Titles</vt:lpstr>
      <vt:lpstr>'INC Master Analysis'!Print_Titles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Jaspreet singh</cp:lastModifiedBy>
  <dcterms:created xsi:type="dcterms:W3CDTF">2026-09-09T13:03:20Z</dcterms:created>
  <dcterms:modified xsi:type="dcterms:W3CDTF">2026-09-17T11:28:40Z</dcterms:modified>
</cp:coreProperties>
</file>