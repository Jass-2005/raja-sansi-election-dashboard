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AP Master Analysis" sheetId="2" state="visible" r:id="rId2"/>
    <sheet xmlns:r="http://schemas.openxmlformats.org/officeDocument/2006/relationships" name="INC Master Analysis" sheetId="3" state="visible" r:id="rId3"/>
    <sheet xmlns:r="http://schemas.openxmlformats.org/officeDocument/2006/relationships" name="All Booth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.0%"/>
    <numFmt numFmtId="166" formatCode="+#,##0;-#,##0;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A3C"/>
      <sz val="10"/>
    </font>
    <font>
      <name val="Calibri"/>
      <b val="1"/>
      <sz val="10"/>
    </font>
    <font>
      <name val="Calibri"/>
      <color rgb="00595959"/>
      <sz val="10"/>
    </font>
    <font>
      <name val="Calibri"/>
      <b val="1"/>
      <color rgb="001B4F72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00B28900"/>
        <bgColor rgb="00B28900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0F766E"/>
        <bgColor rgb="000F766E"/>
      </patternFill>
    </fill>
    <fill>
      <patternFill patternType="solid">
        <fgColor rgb="00CCECE6"/>
        <bgColor rgb="00CCECE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/>
    </xf>
    <xf numFmtId="3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0" fontId="4" fillId="15" borderId="3" applyAlignment="1" pivotButton="0" quotePrefix="0" xfId="0">
      <alignment horizontal="left"/>
    </xf>
    <xf numFmtId="3" fontId="4" fillId="15" borderId="3" pivotButton="0" quotePrefix="0" xfId="0"/>
    <xf numFmtId="164" fontId="4" fillId="15" borderId="3" pivotButton="0" quotePrefix="0" xfId="0"/>
    <xf numFmtId="165" fontId="4" fillId="15" borderId="3" pivotButton="0" quotePrefix="0" xfId="0"/>
    <xf numFmtId="166" fontId="2" fillId="0" borderId="2" pivotButton="0" quotePrefix="0" xfId="0"/>
    <xf numFmtId="0" fontId="3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3" fontId="4" fillId="9" borderId="3" applyAlignment="1" pivotButton="0" quotePrefix="0" xfId="0">
      <alignment horizontal="right" vertical="center"/>
    </xf>
    <xf numFmtId="164" fontId="4" fillId="9" borderId="3" applyAlignment="1" pivotButton="0" quotePrefix="0" xfId="0">
      <alignment horizontal="right" vertical="center"/>
    </xf>
    <xf numFmtId="165" fontId="4" fillId="9" borderId="3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/>
    </xf>
    <xf numFmtId="3" fontId="4" fillId="11" borderId="3" applyAlignment="1" pivotButton="0" quotePrefix="0" xfId="0">
      <alignment horizontal="right" vertical="center"/>
    </xf>
    <xf numFmtId="164" fontId="4" fillId="11" borderId="3" applyAlignment="1" pivotButton="0" quotePrefix="0" xfId="0">
      <alignment horizontal="right" vertical="center"/>
    </xf>
    <xf numFmtId="165" fontId="4" fillId="11" borderId="3" applyAlignment="1" pivotButton="0" quotePrefix="0" xfId="0">
      <alignment horizontal="right" vertical="center"/>
    </xf>
    <xf numFmtId="0" fontId="1" fillId="12" borderId="1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left" vertical="center"/>
    </xf>
    <xf numFmtId="0" fontId="4" fillId="15" borderId="3" applyAlignment="1" pivotButton="0" quotePrefix="0" xfId="0">
      <alignment horizontal="center" vertical="center"/>
    </xf>
    <xf numFmtId="3" fontId="4" fillId="15" borderId="3" applyAlignment="1" pivotButton="0" quotePrefix="0" xfId="0">
      <alignment horizontal="right" vertical="center"/>
    </xf>
    <xf numFmtId="165" fontId="4" fillId="1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/>
    <row r="2">
      <c r="B2" s="1" t="inlineStr">
        <is>
          <t>12-RAJA SANSI ASSEMBLY SEGMENT (AMRITSAR PC)</t>
        </is>
      </c>
    </row>
    <row r="3">
      <c r="B3" s="2" t="inlineStr">
        <is>
          <t>Comparative Electoral Performance Analysis: 2022 Assembly vs 2024 Parliamentary Election</t>
        </is>
      </c>
    </row>
    <row r="4"/>
    <row r="5">
      <c r="B5" s="3" t="inlineStr">
        <is>
          <t>CONSTITUENCY VOTE TOTALS &amp; SHARES</t>
        </is>
      </c>
    </row>
    <row r="6">
      <c r="B6" s="4" t="inlineStr">
        <is>
          <t>Party</t>
        </is>
      </c>
      <c r="C6" s="4" t="inlineStr">
        <is>
          <t>2022 Votes</t>
        </is>
      </c>
      <c r="D6" s="4" t="inlineStr">
        <is>
          <t>2022 Share %</t>
        </is>
      </c>
      <c r="E6" s="4" t="inlineStr">
        <is>
          <t>2024 Votes</t>
        </is>
      </c>
      <c r="F6" s="4" t="inlineStr">
        <is>
          <t>2024 Share %</t>
        </is>
      </c>
      <c r="G6" s="4" t="inlineStr">
        <is>
          <t>Net Swing %</t>
        </is>
      </c>
    </row>
    <row r="7">
      <c r="B7" s="5" t="inlineStr">
        <is>
          <t>INC (Congress)</t>
        </is>
      </c>
      <c r="C7" s="6" t="n">
        <v>46802</v>
      </c>
      <c r="D7" s="7" t="n">
        <v>0.3512</v>
      </c>
      <c r="E7" s="6" t="n">
        <v>36285</v>
      </c>
      <c r="F7" s="7" t="n">
        <v>0.3188</v>
      </c>
      <c r="G7" s="8" t="n">
        <v>-0.0325</v>
      </c>
    </row>
    <row r="8">
      <c r="B8" s="5" t="inlineStr">
        <is>
          <t>AAP (Aam Aadmi Party)</t>
        </is>
      </c>
      <c r="C8" s="6" t="n">
        <v>37264</v>
      </c>
      <c r="D8" s="7" t="n">
        <v>0.2796</v>
      </c>
      <c r="E8" s="6" t="n">
        <v>31742</v>
      </c>
      <c r="F8" s="7" t="n">
        <v>0.2788</v>
      </c>
      <c r="G8" s="8" t="n">
        <v>-0.0008</v>
      </c>
    </row>
    <row r="9">
      <c r="B9" s="5" t="inlineStr">
        <is>
          <t>SAD (Akali Dal)</t>
        </is>
      </c>
      <c r="C9" s="6" t="n">
        <v>41333</v>
      </c>
      <c r="D9" s="7" t="n">
        <v>0.3102</v>
      </c>
      <c r="E9" s="6" t="n">
        <v>22942</v>
      </c>
      <c r="F9" s="7" t="n">
        <v>0.2015</v>
      </c>
      <c r="G9" s="8" t="n">
        <v>-0.1086</v>
      </c>
    </row>
    <row r="10">
      <c r="B10" s="5" t="inlineStr">
        <is>
          <t>BJP (Bharatiya Janata Party)</t>
        </is>
      </c>
      <c r="C10" s="6" t="n">
        <v>2373</v>
      </c>
      <c r="D10" s="7" t="n">
        <v>0.0178</v>
      </c>
      <c r="E10" s="6" t="n">
        <v>11680</v>
      </c>
      <c r="F10" s="7" t="n">
        <v>0.1026</v>
      </c>
      <c r="G10" s="8" t="n">
        <v>0.0848</v>
      </c>
    </row>
    <row r="11">
      <c r="B11" s="9" t="inlineStr">
        <is>
          <t>TOTAL POLLED VOTES</t>
        </is>
      </c>
      <c r="C11" s="10" t="n">
        <v>133259</v>
      </c>
      <c r="D11" s="11" t="n">
        <v>1</v>
      </c>
      <c r="E11" s="10" t="n">
        <v>113833</v>
      </c>
      <c r="F11" s="11" t="n">
        <v>1</v>
      </c>
      <c r="G11" s="12" t="n">
        <v>-0.1458</v>
      </c>
    </row>
    <row r="12"/>
    <row r="13"/>
    <row r="14">
      <c r="B14" s="3" t="inlineStr">
        <is>
          <t>BOOTHS WON TALLY (OUT OF 222 BOOTHS)</t>
        </is>
      </c>
    </row>
    <row r="15">
      <c r="B15" s="4" t="inlineStr">
        <is>
          <t>Party</t>
        </is>
      </c>
      <c r="C15" s="4" t="inlineStr">
        <is>
          <t>2022 Booths Won</t>
        </is>
      </c>
      <c r="D15" s="4" t="inlineStr">
        <is>
          <t>2022 % of Booths</t>
        </is>
      </c>
      <c r="E15" s="4" t="inlineStr">
        <is>
          <t>2024 Booths Won</t>
        </is>
      </c>
      <c r="F15" s="4" t="inlineStr">
        <is>
          <t>2024 % of Booths</t>
        </is>
      </c>
      <c r="G15" s="4" t="inlineStr">
        <is>
          <t>Net Booth Change</t>
        </is>
      </c>
    </row>
    <row r="16">
      <c r="B16" s="5" t="inlineStr">
        <is>
          <t>INC (Congress)</t>
        </is>
      </c>
      <c r="C16" s="6" t="n">
        <v>98</v>
      </c>
      <c r="D16" s="7" t="n">
        <v>0.4414414414414414</v>
      </c>
      <c r="E16" s="6" t="n">
        <v>112</v>
      </c>
      <c r="F16" s="7" t="n">
        <v>0.5045045045045045</v>
      </c>
      <c r="G16" s="13" t="n">
        <v>14</v>
      </c>
    </row>
    <row r="17">
      <c r="B17" s="5" t="inlineStr">
        <is>
          <t>AAP (Aam Aadmi Party)</t>
        </is>
      </c>
      <c r="C17" s="6" t="n">
        <v>58</v>
      </c>
      <c r="D17" s="7" t="n">
        <v>0.2612612612612613</v>
      </c>
      <c r="E17" s="6" t="n">
        <v>69</v>
      </c>
      <c r="F17" s="7" t="n">
        <v>0.3108108108108108</v>
      </c>
      <c r="G17" s="13" t="n">
        <v>11</v>
      </c>
    </row>
    <row r="18">
      <c r="B18" s="5" t="inlineStr">
        <is>
          <t>SAD (Akali Dal)</t>
        </is>
      </c>
      <c r="C18" s="6" t="n">
        <v>65</v>
      </c>
      <c r="D18" s="7" t="n">
        <v>0.2927927927927928</v>
      </c>
      <c r="E18" s="6" t="n">
        <v>29</v>
      </c>
      <c r="F18" s="7" t="n">
        <v>0.1306306306306306</v>
      </c>
      <c r="G18" s="13" t="n">
        <v>-36</v>
      </c>
    </row>
    <row r="19">
      <c r="B19" s="5" t="inlineStr">
        <is>
          <t>BJP (Bharatiya Janata Party)</t>
        </is>
      </c>
      <c r="C19" s="6" t="n">
        <v>1</v>
      </c>
      <c r="D19" s="7" t="n">
        <v>0.004504504504504504</v>
      </c>
      <c r="E19" s="6" t="n">
        <v>11</v>
      </c>
      <c r="F19" s="7" t="n">
        <v>0.04954954954954955</v>
      </c>
      <c r="G19" s="13" t="n">
        <v>10</v>
      </c>
    </row>
    <row r="20">
      <c r="B20" s="5" t="inlineStr">
        <is>
          <t>SAD(A) (Simranjit S. Mann)</t>
        </is>
      </c>
      <c r="C20" s="6" t="n">
        <v>0</v>
      </c>
      <c r="D20" s="7" t="n">
        <v>0</v>
      </c>
      <c r="E20" s="6" t="n">
        <v>1</v>
      </c>
      <c r="F20" s="7" t="n">
        <v>0.004504504504504504</v>
      </c>
      <c r="G20" s="13" t="n">
        <v>1</v>
      </c>
    </row>
    <row r="21"/>
    <row r="22"/>
    <row r="23">
      <c r="B23" s="3" t="inlineStr">
        <is>
          <t>STRATEGIC BOOTH CATEGORIZATION (AAP vs INC)</t>
        </is>
      </c>
    </row>
    <row r="24">
      <c r="B24" s="4" t="inlineStr">
        <is>
          <t>Category</t>
        </is>
      </c>
      <c r="C24" s="4" t="inlineStr">
        <is>
          <t>Color Code</t>
        </is>
      </c>
      <c r="D24" s="4" t="inlineStr">
        <is>
          <t>AAP Booth Count</t>
        </is>
      </c>
      <c r="E24" s="4" t="inlineStr">
        <is>
          <t>AAP % of Booths</t>
        </is>
      </c>
      <c r="F24" s="4" t="inlineStr">
        <is>
          <t>INC Booth Count</t>
        </is>
      </c>
      <c r="G24" s="4" t="inlineStr">
        <is>
          <t>INC % of Booths</t>
        </is>
      </c>
    </row>
    <row r="25">
      <c r="B25" s="5" t="inlineStr">
        <is>
          <t>Won Both Times (Stronghold)</t>
        </is>
      </c>
      <c r="C25" s="14" t="inlineStr">
        <is>
          <t>Light Green</t>
        </is>
      </c>
      <c r="D25" s="6" t="n">
        <v>23</v>
      </c>
      <c r="E25" s="7" t="n">
        <v>0.1036036036036036</v>
      </c>
      <c r="F25" s="6" t="n">
        <v>61</v>
      </c>
      <c r="G25" s="7" t="n">
        <v>0.2747747747747748</v>
      </c>
    </row>
    <row r="26">
      <c r="B26" s="5" t="inlineStr">
        <is>
          <t>Gained in 2024 (New Win)</t>
        </is>
      </c>
      <c r="C26" s="15" t="inlineStr">
        <is>
          <t>Light Blue</t>
        </is>
      </c>
      <c r="D26" s="6" t="n">
        <v>46</v>
      </c>
      <c r="E26" s="7" t="n">
        <v>0.2072072072072072</v>
      </c>
      <c r="F26" s="6" t="n">
        <v>51</v>
      </c>
      <c r="G26" s="7" t="n">
        <v>0.2297297297297297</v>
      </c>
    </row>
    <row r="27">
      <c r="B27" s="5" t="inlineStr">
        <is>
          <t>Lost in 2024 (Flipped Away)</t>
        </is>
      </c>
      <c r="C27" s="16" t="inlineStr">
        <is>
          <t>Light Red</t>
        </is>
      </c>
      <c r="D27" s="6" t="n">
        <v>35</v>
      </c>
      <c r="E27" s="7" t="n">
        <v>0.1576576576576577</v>
      </c>
      <c r="F27" s="6" t="n">
        <v>37</v>
      </c>
      <c r="G27" s="7" t="n">
        <v>0.1666666666666667</v>
      </c>
    </row>
    <row r="28">
      <c r="B28" s="5" t="inlineStr">
        <is>
          <t>Weak Booth (&lt; 20% Share)</t>
        </is>
      </c>
      <c r="C28" s="17" t="inlineStr">
        <is>
          <t>Soft Yellow</t>
        </is>
      </c>
      <c r="D28" s="6" t="n">
        <v>49</v>
      </c>
      <c r="E28" s="7" t="n">
        <v>0.2207207207207207</v>
      </c>
      <c r="F28" s="6" t="n">
        <v>19</v>
      </c>
      <c r="G28" s="7" t="n">
        <v>0.08558558558558559</v>
      </c>
    </row>
    <row r="29">
      <c r="B29" s="5" t="inlineStr">
        <is>
          <t>Lost Both Times (Deficit)</t>
        </is>
      </c>
      <c r="C29" s="18" t="inlineStr">
        <is>
          <t>Light Gray</t>
        </is>
      </c>
      <c r="D29" s="6" t="n">
        <v>69</v>
      </c>
      <c r="E29" s="7" t="n">
        <v>0.3108108108108108</v>
      </c>
      <c r="F29" s="6" t="n">
        <v>54</v>
      </c>
      <c r="G29" s="7" t="n">
        <v>0.2432432432432433</v>
      </c>
    </row>
    <row r="30"/>
    <row r="31"/>
    <row r="32">
      <c r="B32" s="3" t="inlineStr">
        <is>
          <t>KEY ELECTORAL OBSERVATIONS</t>
        </is>
      </c>
    </row>
    <row r="33">
      <c r="B33" s="19" t="inlineStr">
        <is>
          <t>1. HIGH ELECTORAL VOLATILITY: 119 out of 222 booths (53.6%) flipped parties between 2022 and 2024.</t>
        </is>
      </c>
    </row>
    <row r="34">
      <c r="B34" s="19" t="inlineStr">
        <is>
          <t>2. CONGRESS ADVANTAGE: INC expanded its lead from 98 booths won in 2022 to 112 booths in 2024 (31.9% vote share).</t>
        </is>
      </c>
    </row>
    <row r="35">
      <c r="B35" s="19" t="inlineStr">
        <is>
          <t>3. AAP EXPANSION: AAP increased booth wins from 58 to 69 booths (+11 booths) and maintained a solid 27.9% vote share.</t>
        </is>
      </c>
    </row>
    <row r="36">
      <c r="B36" s="19" t="inlineStr">
        <is>
          <t>4. SAD EROSION: SAD suffered a massive crash from 65 booths won in 2022 down to 29 booths in 2024 (-36 booths, vote share dropped from 31.0% to 20.2%).</t>
        </is>
      </c>
    </row>
    <row r="37">
      <c r="B37" s="19" t="inlineStr">
        <is>
          <t>5. BJP GROWTH: BJP expanded from 1 booth in 2022 to 11 booths won in 2024, growing from 1.8% to 10.3% vote share.</t>
        </is>
      </c>
    </row>
  </sheetData>
  <mergeCells count="7">
    <mergeCell ref="B3:G3"/>
    <mergeCell ref="B2:G2"/>
    <mergeCell ref="B34:G34"/>
    <mergeCell ref="B36:G36"/>
    <mergeCell ref="B37:G37"/>
    <mergeCell ref="B35:G35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0" customWidth="1" min="4" max="4"/>
    <col width="17" customWidth="1" min="5" max="5"/>
    <col width="13" customWidth="1" min="6" max="6"/>
    <col width="14" customWidth="1" min="7" max="7"/>
    <col width="17" customWidth="1" min="8" max="8"/>
    <col width="13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</cols>
  <sheetData>
    <row r="1" ht="28" customHeight="1">
      <c r="A1" s="20" t="inlineStr">
        <is>
          <t>Booth No</t>
        </is>
      </c>
      <c r="B1" s="20" t="inlineStr">
        <is>
          <t>Village / Polling Station (English)</t>
        </is>
      </c>
      <c r="C1" s="20" t="inlineStr">
        <is>
          <t>Village Name (Punjabi)</t>
        </is>
      </c>
      <c r="D1" s="20" t="inlineStr">
        <is>
          <t>AAP Status Category</t>
        </is>
      </c>
      <c r="E1" s="20" t="inlineStr">
        <is>
          <t>2022 AAP Votes</t>
        </is>
      </c>
      <c r="F1" s="20" t="inlineStr">
        <is>
          <t>2022 AAP %</t>
        </is>
      </c>
      <c r="G1" s="20" t="inlineStr">
        <is>
          <t>2022 Winner</t>
        </is>
      </c>
      <c r="H1" s="20" t="inlineStr">
        <is>
          <t>2024 AAP Votes</t>
        </is>
      </c>
      <c r="I1" s="20" t="inlineStr">
        <is>
          <t>2024 AAP %</t>
        </is>
      </c>
      <c r="J1" s="20" t="inlineStr">
        <is>
          <t>2024 Winner</t>
        </is>
      </c>
      <c r="K1" s="20" t="inlineStr">
        <is>
          <t>Vote Shift (+/-)</t>
        </is>
      </c>
      <c r="L1" s="20" t="inlineStr">
        <is>
          <t>Swing % (+/-)</t>
        </is>
      </c>
      <c r="M1" s="20" t="inlineStr">
        <is>
          <t>2024 Margin</t>
        </is>
      </c>
      <c r="N1" s="20" t="inlineStr">
        <is>
          <t>2024 Total Polled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23" t="inlineStr">
        <is>
          <t>Won Both Times (Stronghold)</t>
        </is>
      </c>
      <c r="E2" s="24" t="n">
        <v>132</v>
      </c>
      <c r="F2" s="25">
        <f>132/281</f>
        <v/>
      </c>
      <c r="G2" s="26" t="inlineStr">
        <is>
          <t>AAP</t>
        </is>
      </c>
      <c r="H2" s="24" t="n">
        <v>88</v>
      </c>
      <c r="I2" s="25">
        <f>88/249</f>
        <v/>
      </c>
      <c r="J2" s="26" t="inlineStr">
        <is>
          <t>AAP</t>
        </is>
      </c>
      <c r="K2" s="24" t="n">
        <v>-44</v>
      </c>
      <c r="L2" s="27">
        <f>I2-F2</f>
        <v/>
      </c>
      <c r="M2" s="24" t="n">
        <v>17</v>
      </c>
      <c r="N2" s="24" t="n">
        <v>249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30" t="inlineStr">
        <is>
          <t>Lost Both Times (Deficit)</t>
        </is>
      </c>
      <c r="E3" s="31" t="n">
        <v>129</v>
      </c>
      <c r="F3" s="32">
        <f>129/614</f>
        <v/>
      </c>
      <c r="G3" s="33" t="inlineStr">
        <is>
          <t>INC</t>
        </is>
      </c>
      <c r="H3" s="31" t="n">
        <v>151</v>
      </c>
      <c r="I3" s="32">
        <f>151/542</f>
        <v/>
      </c>
      <c r="J3" s="33" t="inlineStr">
        <is>
          <t>INC</t>
        </is>
      </c>
      <c r="K3" s="31" t="n">
        <v>22</v>
      </c>
      <c r="L3" s="34">
        <f>I3-F3</f>
        <v/>
      </c>
      <c r="M3" s="31" t="n">
        <v>17</v>
      </c>
      <c r="N3" s="31" t="n">
        <v>542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30" t="inlineStr">
        <is>
          <t>Lost Both Times (Deficit)</t>
        </is>
      </c>
      <c r="E4" s="24" t="n">
        <v>153</v>
      </c>
      <c r="F4" s="25">
        <f>153/566</f>
        <v/>
      </c>
      <c r="G4" s="26" t="inlineStr">
        <is>
          <t>SAD</t>
        </is>
      </c>
      <c r="H4" s="24" t="n">
        <v>135</v>
      </c>
      <c r="I4" s="25">
        <f>135/500</f>
        <v/>
      </c>
      <c r="J4" s="26" t="inlineStr">
        <is>
          <t>SAD</t>
        </is>
      </c>
      <c r="K4" s="24" t="n">
        <v>-18</v>
      </c>
      <c r="L4" s="27">
        <f>I4-F4</f>
        <v/>
      </c>
      <c r="M4" s="24" t="n">
        <v>41</v>
      </c>
      <c r="N4" s="24" t="n">
        <v>500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35" t="inlineStr">
        <is>
          <t>Gained in 2024 (New Win)</t>
        </is>
      </c>
      <c r="E5" s="31" t="n">
        <v>164</v>
      </c>
      <c r="F5" s="32">
        <f>164/656</f>
        <v/>
      </c>
      <c r="G5" s="33" t="inlineStr">
        <is>
          <t>INC</t>
        </is>
      </c>
      <c r="H5" s="31" t="n">
        <v>263</v>
      </c>
      <c r="I5" s="32">
        <f>263/660</f>
        <v/>
      </c>
      <c r="J5" s="33" t="inlineStr">
        <is>
          <t>AAP</t>
        </is>
      </c>
      <c r="K5" s="31" t="n">
        <v>99</v>
      </c>
      <c r="L5" s="34">
        <f>I5-F5</f>
        <v/>
      </c>
      <c r="M5" s="31" t="n">
        <v>83</v>
      </c>
      <c r="N5" s="31" t="n">
        <v>660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35" t="inlineStr">
        <is>
          <t>Gained in 2024 (New Win)</t>
        </is>
      </c>
      <c r="E6" s="24" t="n">
        <v>165</v>
      </c>
      <c r="F6" s="25">
        <f>165/589</f>
        <v/>
      </c>
      <c r="G6" s="26" t="inlineStr">
        <is>
          <t>INC</t>
        </is>
      </c>
      <c r="H6" s="24" t="n">
        <v>223</v>
      </c>
      <c r="I6" s="25">
        <f>223/541</f>
        <v/>
      </c>
      <c r="J6" s="26" t="inlineStr">
        <is>
          <t>AAP</t>
        </is>
      </c>
      <c r="K6" s="24" t="n">
        <v>58</v>
      </c>
      <c r="L6" s="27">
        <f>I6-F6</f>
        <v/>
      </c>
      <c r="M6" s="24" t="n">
        <v>79</v>
      </c>
      <c r="N6" s="24" t="n">
        <v>541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35" t="inlineStr">
        <is>
          <t>Gained in 2024 (New Win)</t>
        </is>
      </c>
      <c r="E7" s="31" t="n">
        <v>160</v>
      </c>
      <c r="F7" s="32">
        <f>160/707</f>
        <v/>
      </c>
      <c r="G7" s="33" t="inlineStr">
        <is>
          <t>SAD</t>
        </is>
      </c>
      <c r="H7" s="31" t="n">
        <v>281</v>
      </c>
      <c r="I7" s="32">
        <f>281/712</f>
        <v/>
      </c>
      <c r="J7" s="33" t="inlineStr">
        <is>
          <t>AAP</t>
        </is>
      </c>
      <c r="K7" s="31" t="n">
        <v>121</v>
      </c>
      <c r="L7" s="34">
        <f>I7-F7</f>
        <v/>
      </c>
      <c r="M7" s="31" t="n">
        <v>155</v>
      </c>
      <c r="N7" s="31" t="n">
        <v>712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36" t="inlineStr">
        <is>
          <t>Weak Booth (&lt; 20% Share)</t>
        </is>
      </c>
      <c r="E8" s="24" t="n">
        <v>110</v>
      </c>
      <c r="F8" s="25">
        <f>110/747</f>
        <v/>
      </c>
      <c r="G8" s="26" t="inlineStr">
        <is>
          <t>SAD</t>
        </is>
      </c>
      <c r="H8" s="24" t="n">
        <v>118</v>
      </c>
      <c r="I8" s="25">
        <f>118/597</f>
        <v/>
      </c>
      <c r="J8" s="26" t="inlineStr">
        <is>
          <t>INC</t>
        </is>
      </c>
      <c r="K8" s="24" t="n">
        <v>8</v>
      </c>
      <c r="L8" s="27">
        <f>I8-F8</f>
        <v/>
      </c>
      <c r="M8" s="24" t="n">
        <v>15</v>
      </c>
      <c r="N8" s="24" t="n">
        <v>597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37" t="inlineStr">
        <is>
          <t>Lost in 2024 (to INC)</t>
        </is>
      </c>
      <c r="E9" s="31" t="n">
        <v>336</v>
      </c>
      <c r="F9" s="32">
        <f>336/778</f>
        <v/>
      </c>
      <c r="G9" s="33" t="inlineStr">
        <is>
          <t>AAP</t>
        </is>
      </c>
      <c r="H9" s="31" t="n">
        <v>130</v>
      </c>
      <c r="I9" s="32">
        <f>130/697</f>
        <v/>
      </c>
      <c r="J9" s="33" t="inlineStr">
        <is>
          <t>INC</t>
        </is>
      </c>
      <c r="K9" s="31" t="n">
        <v>-206</v>
      </c>
      <c r="L9" s="34">
        <f>I9-F9</f>
        <v/>
      </c>
      <c r="M9" s="31" t="n">
        <v>159</v>
      </c>
      <c r="N9" s="31" t="n">
        <v>697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37" t="inlineStr">
        <is>
          <t>Lost in 2024 (to INC)</t>
        </is>
      </c>
      <c r="E10" s="24" t="n">
        <v>358</v>
      </c>
      <c r="F10" s="25">
        <f>358/888</f>
        <v/>
      </c>
      <c r="G10" s="26" t="inlineStr">
        <is>
          <t>AAP</t>
        </is>
      </c>
      <c r="H10" s="24" t="n">
        <v>77</v>
      </c>
      <c r="I10" s="25">
        <f>77/423</f>
        <v/>
      </c>
      <c r="J10" s="26" t="inlineStr">
        <is>
          <t>INC</t>
        </is>
      </c>
      <c r="K10" s="24" t="n">
        <v>-281</v>
      </c>
      <c r="L10" s="27">
        <f>I10-F10</f>
        <v/>
      </c>
      <c r="M10" s="24" t="n">
        <v>48</v>
      </c>
      <c r="N10" s="24" t="n">
        <v>423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23" t="inlineStr">
        <is>
          <t>Won Both Times (Stronghold)</t>
        </is>
      </c>
      <c r="E11" s="31" t="n">
        <v>170</v>
      </c>
      <c r="F11" s="32">
        <f>170/454</f>
        <v/>
      </c>
      <c r="G11" s="33" t="inlineStr">
        <is>
          <t>AAP</t>
        </is>
      </c>
      <c r="H11" s="31" t="n">
        <v>221</v>
      </c>
      <c r="I11" s="32">
        <f>221/751</f>
        <v/>
      </c>
      <c r="J11" s="33" t="inlineStr">
        <is>
          <t>AAP</t>
        </is>
      </c>
      <c r="K11" s="31" t="n">
        <v>51</v>
      </c>
      <c r="L11" s="34">
        <f>I11-F11</f>
        <v/>
      </c>
      <c r="M11" s="31" t="n">
        <v>31</v>
      </c>
      <c r="N11" s="31" t="n">
        <v>751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37" t="inlineStr">
        <is>
          <t>Lost in 2024 (to INC)</t>
        </is>
      </c>
      <c r="E12" s="24" t="n">
        <v>229</v>
      </c>
      <c r="F12" s="25">
        <f>229/653</f>
        <v/>
      </c>
      <c r="G12" s="26" t="inlineStr">
        <is>
          <t>AAP</t>
        </is>
      </c>
      <c r="H12" s="24" t="n">
        <v>156</v>
      </c>
      <c r="I12" s="25">
        <f>156/582</f>
        <v/>
      </c>
      <c r="J12" s="26" t="inlineStr">
        <is>
          <t>INC</t>
        </is>
      </c>
      <c r="K12" s="24" t="n">
        <v>-73</v>
      </c>
      <c r="L12" s="27">
        <f>I12-F12</f>
        <v/>
      </c>
      <c r="M12" s="24" t="n">
        <v>7</v>
      </c>
      <c r="N12" s="24" t="n">
        <v>582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30" t="inlineStr">
        <is>
          <t>Lost Both Times (Deficit)</t>
        </is>
      </c>
      <c r="E13" s="31" t="n">
        <v>159</v>
      </c>
      <c r="F13" s="32">
        <f>159/579</f>
        <v/>
      </c>
      <c r="G13" s="33" t="inlineStr">
        <is>
          <t>SAD</t>
        </is>
      </c>
      <c r="H13" s="31" t="n">
        <v>179</v>
      </c>
      <c r="I13" s="32">
        <f>179/476</f>
        <v/>
      </c>
      <c r="J13" s="33" t="inlineStr">
        <is>
          <t>INC</t>
        </is>
      </c>
      <c r="K13" s="31" t="n">
        <v>20</v>
      </c>
      <c r="L13" s="34">
        <f>I13-F13</f>
        <v/>
      </c>
      <c r="M13" s="31" t="n">
        <v>37</v>
      </c>
      <c r="N13" s="31" t="n">
        <v>476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30" t="inlineStr">
        <is>
          <t>Lost Both Times (Deficit)</t>
        </is>
      </c>
      <c r="E14" s="24" t="n">
        <v>205</v>
      </c>
      <c r="F14" s="25">
        <f>205/704</f>
        <v/>
      </c>
      <c r="G14" s="26" t="inlineStr">
        <is>
          <t>INC</t>
        </is>
      </c>
      <c r="H14" s="24" t="n">
        <v>186</v>
      </c>
      <c r="I14" s="25">
        <f>186/659</f>
        <v/>
      </c>
      <c r="J14" s="26" t="inlineStr">
        <is>
          <t>INC</t>
        </is>
      </c>
      <c r="K14" s="24" t="n">
        <v>-19</v>
      </c>
      <c r="L14" s="27">
        <f>I14-F14</f>
        <v/>
      </c>
      <c r="M14" s="24" t="n">
        <v>28</v>
      </c>
      <c r="N14" s="24" t="n">
        <v>659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36" t="inlineStr">
        <is>
          <t>Weak Booth (&lt; 20% Share)</t>
        </is>
      </c>
      <c r="E15" s="31" t="n">
        <v>127</v>
      </c>
      <c r="F15" s="32">
        <f>127/529</f>
        <v/>
      </c>
      <c r="G15" s="33" t="inlineStr">
        <is>
          <t>INC</t>
        </is>
      </c>
      <c r="H15" s="31" t="n">
        <v>74</v>
      </c>
      <c r="I15" s="32">
        <f>74/452</f>
        <v/>
      </c>
      <c r="J15" s="33" t="inlineStr">
        <is>
          <t>INC</t>
        </is>
      </c>
      <c r="K15" s="31" t="n">
        <v>-53</v>
      </c>
      <c r="L15" s="34">
        <f>I15-F15</f>
        <v/>
      </c>
      <c r="M15" s="31" t="n">
        <v>82</v>
      </c>
      <c r="N15" s="31" t="n">
        <v>452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37" t="inlineStr">
        <is>
          <t>Lost in 2024 (to INC)</t>
        </is>
      </c>
      <c r="E16" s="24" t="n">
        <v>212</v>
      </c>
      <c r="F16" s="25">
        <f>212/478</f>
        <v/>
      </c>
      <c r="G16" s="26" t="inlineStr">
        <is>
          <t>AAP</t>
        </is>
      </c>
      <c r="H16" s="24" t="n">
        <v>136</v>
      </c>
      <c r="I16" s="25">
        <f>136/453</f>
        <v/>
      </c>
      <c r="J16" s="26" t="inlineStr">
        <is>
          <t>INC</t>
        </is>
      </c>
      <c r="K16" s="24" t="n">
        <v>-76</v>
      </c>
      <c r="L16" s="27">
        <f>I16-F16</f>
        <v/>
      </c>
      <c r="M16" s="24" t="n">
        <v>4</v>
      </c>
      <c r="N16" s="24" t="n">
        <v>453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30" t="inlineStr">
        <is>
          <t>Lost Both Times (Deficit)</t>
        </is>
      </c>
      <c r="E17" s="31" t="n">
        <v>90</v>
      </c>
      <c r="F17" s="32">
        <f>90/278</f>
        <v/>
      </c>
      <c r="G17" s="33" t="inlineStr">
        <is>
          <t>SAD</t>
        </is>
      </c>
      <c r="H17" s="31" t="n">
        <v>69</v>
      </c>
      <c r="I17" s="32">
        <f>69/243</f>
        <v/>
      </c>
      <c r="J17" s="33" t="inlineStr">
        <is>
          <t>INC</t>
        </is>
      </c>
      <c r="K17" s="31" t="n">
        <v>-21</v>
      </c>
      <c r="L17" s="34">
        <f>I17-F17</f>
        <v/>
      </c>
      <c r="M17" s="31" t="n">
        <v>44</v>
      </c>
      <c r="N17" s="31" t="n">
        <v>243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23" t="inlineStr">
        <is>
          <t>Won Both Times (Stronghold)</t>
        </is>
      </c>
      <c r="E18" s="24" t="n">
        <v>227</v>
      </c>
      <c r="F18" s="25">
        <f>227/645</f>
        <v/>
      </c>
      <c r="G18" s="26" t="inlineStr">
        <is>
          <t>AAP</t>
        </is>
      </c>
      <c r="H18" s="24" t="n">
        <v>153</v>
      </c>
      <c r="I18" s="25">
        <f>153/512</f>
        <v/>
      </c>
      <c r="J18" s="26" t="inlineStr">
        <is>
          <t>AAP</t>
        </is>
      </c>
      <c r="K18" s="24" t="n">
        <v>-74</v>
      </c>
      <c r="L18" s="27">
        <f>I18-F18</f>
        <v/>
      </c>
      <c r="M18" s="24" t="n">
        <v>11</v>
      </c>
      <c r="N18" s="24" t="n">
        <v>512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36" t="inlineStr">
        <is>
          <t>Weak Booth (&lt; 20% Share)</t>
        </is>
      </c>
      <c r="E19" s="31" t="n">
        <v>188</v>
      </c>
      <c r="F19" s="32">
        <f>188/668</f>
        <v/>
      </c>
      <c r="G19" s="33" t="inlineStr">
        <is>
          <t>INC</t>
        </is>
      </c>
      <c r="H19" s="31" t="n">
        <v>105</v>
      </c>
      <c r="I19" s="32">
        <f>105/601</f>
        <v/>
      </c>
      <c r="J19" s="33" t="inlineStr">
        <is>
          <t>INC</t>
        </is>
      </c>
      <c r="K19" s="31" t="n">
        <v>-83</v>
      </c>
      <c r="L19" s="34">
        <f>I19-F19</f>
        <v/>
      </c>
      <c r="M19" s="31" t="n">
        <v>86</v>
      </c>
      <c r="N19" s="31" t="n">
        <v>601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37" t="inlineStr">
        <is>
          <t>Lost in 2024 (to BJP)</t>
        </is>
      </c>
      <c r="E20" s="24" t="n">
        <v>211</v>
      </c>
      <c r="F20" s="25">
        <f>211/658</f>
        <v/>
      </c>
      <c r="G20" s="26" t="inlineStr">
        <is>
          <t>AAP</t>
        </is>
      </c>
      <c r="H20" s="24" t="n">
        <v>131</v>
      </c>
      <c r="I20" s="25">
        <f>131/573</f>
        <v/>
      </c>
      <c r="J20" s="26" t="inlineStr">
        <is>
          <t>BJP</t>
        </is>
      </c>
      <c r="K20" s="24" t="n">
        <v>-80</v>
      </c>
      <c r="L20" s="27">
        <f>I20-F20</f>
        <v/>
      </c>
      <c r="M20" s="24" t="n">
        <v>42</v>
      </c>
      <c r="N20" s="24" t="n">
        <v>573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30" t="inlineStr">
        <is>
          <t>Lost Both Times (Deficit)</t>
        </is>
      </c>
      <c r="E21" s="31" t="n">
        <v>112</v>
      </c>
      <c r="F21" s="32">
        <f>112/403</f>
        <v/>
      </c>
      <c r="G21" s="33" t="inlineStr">
        <is>
          <t>SAD</t>
        </is>
      </c>
      <c r="H21" s="31" t="n">
        <v>85</v>
      </c>
      <c r="I21" s="32">
        <f>85/348</f>
        <v/>
      </c>
      <c r="J21" s="33" t="inlineStr">
        <is>
          <t>SAD</t>
        </is>
      </c>
      <c r="K21" s="31" t="n">
        <v>-27</v>
      </c>
      <c r="L21" s="34">
        <f>I21-F21</f>
        <v/>
      </c>
      <c r="M21" s="31" t="n">
        <v>18</v>
      </c>
      <c r="N21" s="31" t="n">
        <v>348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37" t="inlineStr">
        <is>
          <t>Lost in 2024 (to INC)</t>
        </is>
      </c>
      <c r="E22" s="24" t="n">
        <v>132</v>
      </c>
      <c r="F22" s="25">
        <f>132/375</f>
        <v/>
      </c>
      <c r="G22" s="26" t="inlineStr">
        <is>
          <t>AAP</t>
        </is>
      </c>
      <c r="H22" s="24" t="n">
        <v>75</v>
      </c>
      <c r="I22" s="25">
        <f>75/324</f>
        <v/>
      </c>
      <c r="J22" s="26" t="inlineStr">
        <is>
          <t>INC</t>
        </is>
      </c>
      <c r="K22" s="24" t="n">
        <v>-57</v>
      </c>
      <c r="L22" s="27">
        <f>I22-F22</f>
        <v/>
      </c>
      <c r="M22" s="24" t="n">
        <v>5</v>
      </c>
      <c r="N22" s="24" t="n">
        <v>324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30" t="inlineStr">
        <is>
          <t>Lost Both Times (Deficit)</t>
        </is>
      </c>
      <c r="E23" s="31" t="n">
        <v>158</v>
      </c>
      <c r="F23" s="32">
        <f>158/552</f>
        <v/>
      </c>
      <c r="G23" s="33" t="inlineStr">
        <is>
          <t>SAD</t>
        </is>
      </c>
      <c r="H23" s="31" t="n">
        <v>114</v>
      </c>
      <c r="I23" s="32">
        <f>114/515</f>
        <v/>
      </c>
      <c r="J23" s="33" t="inlineStr">
        <is>
          <t>BJP</t>
        </is>
      </c>
      <c r="K23" s="31" t="n">
        <v>-44</v>
      </c>
      <c r="L23" s="34">
        <f>I23-F23</f>
        <v/>
      </c>
      <c r="M23" s="31" t="n">
        <v>49</v>
      </c>
      <c r="N23" s="31" t="n">
        <v>515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37" t="inlineStr">
        <is>
          <t>Lost in 2024 (to BJP)</t>
        </is>
      </c>
      <c r="E24" s="24" t="n">
        <v>202</v>
      </c>
      <c r="F24" s="25">
        <f>202/575</f>
        <v/>
      </c>
      <c r="G24" s="26" t="inlineStr">
        <is>
          <t>AAP</t>
        </is>
      </c>
      <c r="H24" s="24" t="n">
        <v>142</v>
      </c>
      <c r="I24" s="25">
        <f>142/563</f>
        <v/>
      </c>
      <c r="J24" s="26" t="inlineStr">
        <is>
          <t>BJP</t>
        </is>
      </c>
      <c r="K24" s="24" t="n">
        <v>-60</v>
      </c>
      <c r="L24" s="27">
        <f>I24-F24</f>
        <v/>
      </c>
      <c r="M24" s="24" t="n">
        <v>7</v>
      </c>
      <c r="N24" s="24" t="n">
        <v>563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36" t="inlineStr">
        <is>
          <t>Weak Booth (&lt; 20% Share)</t>
        </is>
      </c>
      <c r="E25" s="31" t="n">
        <v>119</v>
      </c>
      <c r="F25" s="32">
        <f>119/526</f>
        <v/>
      </c>
      <c r="G25" s="33" t="inlineStr">
        <is>
          <t>INC</t>
        </is>
      </c>
      <c r="H25" s="31" t="n">
        <v>90</v>
      </c>
      <c r="I25" s="32">
        <f>90/493</f>
        <v/>
      </c>
      <c r="J25" s="33" t="inlineStr">
        <is>
          <t>BJP</t>
        </is>
      </c>
      <c r="K25" s="31" t="n">
        <v>-29</v>
      </c>
      <c r="L25" s="34">
        <f>I25-F25</f>
        <v/>
      </c>
      <c r="M25" s="31" t="n">
        <v>37</v>
      </c>
      <c r="N25" s="31" t="n">
        <v>493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30" t="inlineStr">
        <is>
          <t>Lost Both Times (Deficit)</t>
        </is>
      </c>
      <c r="E26" s="24" t="n">
        <v>165</v>
      </c>
      <c r="F26" s="25">
        <f>165/583</f>
        <v/>
      </c>
      <c r="G26" s="26" t="inlineStr">
        <is>
          <t>SAD</t>
        </is>
      </c>
      <c r="H26" s="24" t="n">
        <v>130</v>
      </c>
      <c r="I26" s="25">
        <f>130/534</f>
        <v/>
      </c>
      <c r="J26" s="26" t="inlineStr">
        <is>
          <t>SAD</t>
        </is>
      </c>
      <c r="K26" s="24" t="n">
        <v>-35</v>
      </c>
      <c r="L26" s="27">
        <f>I26-F26</f>
        <v/>
      </c>
      <c r="M26" s="24" t="n">
        <v>0</v>
      </c>
      <c r="N26" s="24" t="n">
        <v>534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30" t="inlineStr">
        <is>
          <t>Lost Both Times (Deficit)</t>
        </is>
      </c>
      <c r="E27" s="31" t="n">
        <v>62</v>
      </c>
      <c r="F27" s="32">
        <f>62/338</f>
        <v/>
      </c>
      <c r="G27" s="33" t="inlineStr">
        <is>
          <t>INC</t>
        </is>
      </c>
      <c r="H27" s="31" t="n">
        <v>70</v>
      </c>
      <c r="I27" s="32">
        <f>70/279</f>
        <v/>
      </c>
      <c r="J27" s="33" t="inlineStr">
        <is>
          <t>INC</t>
        </is>
      </c>
      <c r="K27" s="31" t="n">
        <v>8</v>
      </c>
      <c r="L27" s="34">
        <f>I27-F27</f>
        <v/>
      </c>
      <c r="M27" s="31" t="n">
        <v>45</v>
      </c>
      <c r="N27" s="31" t="n">
        <v>279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36" t="inlineStr">
        <is>
          <t>Weak Booth (&lt; 20% Share)</t>
        </is>
      </c>
      <c r="E28" s="24" t="n">
        <v>150</v>
      </c>
      <c r="F28" s="25">
        <f>150/543</f>
        <v/>
      </c>
      <c r="G28" s="26" t="inlineStr">
        <is>
          <t>SAD</t>
        </is>
      </c>
      <c r="H28" s="24" t="n">
        <v>92</v>
      </c>
      <c r="I28" s="25">
        <f>92/509</f>
        <v/>
      </c>
      <c r="J28" s="26" t="inlineStr">
        <is>
          <t>INC</t>
        </is>
      </c>
      <c r="K28" s="24" t="n">
        <v>-58</v>
      </c>
      <c r="L28" s="27">
        <f>I28-F28</f>
        <v/>
      </c>
      <c r="M28" s="24" t="n">
        <v>40</v>
      </c>
      <c r="N28" s="24" t="n">
        <v>509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30" t="inlineStr">
        <is>
          <t>Lost Both Times (Deficit)</t>
        </is>
      </c>
      <c r="E29" s="31" t="n">
        <v>51</v>
      </c>
      <c r="F29" s="32">
        <f>51/432</f>
        <v/>
      </c>
      <c r="G29" s="33" t="inlineStr">
        <is>
          <t>INC</t>
        </is>
      </c>
      <c r="H29" s="31" t="n">
        <v>107</v>
      </c>
      <c r="I29" s="32">
        <f>107/412</f>
        <v/>
      </c>
      <c r="J29" s="33" t="inlineStr">
        <is>
          <t>INC</t>
        </is>
      </c>
      <c r="K29" s="31" t="n">
        <v>56</v>
      </c>
      <c r="L29" s="34">
        <f>I29-F29</f>
        <v/>
      </c>
      <c r="M29" s="31" t="n">
        <v>113</v>
      </c>
      <c r="N29" s="31" t="n">
        <v>412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35" t="inlineStr">
        <is>
          <t>Gained in 2024 (New Win)</t>
        </is>
      </c>
      <c r="E30" s="24" t="n">
        <v>142</v>
      </c>
      <c r="F30" s="25">
        <f>142/735</f>
        <v/>
      </c>
      <c r="G30" s="26" t="inlineStr">
        <is>
          <t>INC</t>
        </is>
      </c>
      <c r="H30" s="24" t="n">
        <v>220</v>
      </c>
      <c r="I30" s="25">
        <f>220/691</f>
        <v/>
      </c>
      <c r="J30" s="26" t="inlineStr">
        <is>
          <t>AAP</t>
        </is>
      </c>
      <c r="K30" s="24" t="n">
        <v>78</v>
      </c>
      <c r="L30" s="27">
        <f>I30-F30</f>
        <v/>
      </c>
      <c r="M30" s="24" t="n">
        <v>10</v>
      </c>
      <c r="N30" s="24" t="n">
        <v>691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35" t="inlineStr">
        <is>
          <t>Gained in 2024 (New Win)</t>
        </is>
      </c>
      <c r="E31" s="31" t="n">
        <v>199</v>
      </c>
      <c r="F31" s="32">
        <f>199/564</f>
        <v/>
      </c>
      <c r="G31" s="33" t="inlineStr">
        <is>
          <t>INC</t>
        </is>
      </c>
      <c r="H31" s="31" t="n">
        <v>197</v>
      </c>
      <c r="I31" s="32">
        <f>197/509</f>
        <v/>
      </c>
      <c r="J31" s="33" t="inlineStr">
        <is>
          <t>AAP</t>
        </is>
      </c>
      <c r="K31" s="31" t="n">
        <v>-2</v>
      </c>
      <c r="L31" s="34">
        <f>I31-F31</f>
        <v/>
      </c>
      <c r="M31" s="31" t="n">
        <v>40</v>
      </c>
      <c r="N31" s="31" t="n">
        <v>509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30" t="inlineStr">
        <is>
          <t>Lost Both Times (Deficit)</t>
        </is>
      </c>
      <c r="E32" s="24" t="n">
        <v>59</v>
      </c>
      <c r="F32" s="25">
        <f>59/317</f>
        <v/>
      </c>
      <c r="G32" s="26" t="inlineStr">
        <is>
          <t>INC</t>
        </is>
      </c>
      <c r="H32" s="24" t="n">
        <v>93</v>
      </c>
      <c r="I32" s="25">
        <f>93/300</f>
        <v/>
      </c>
      <c r="J32" s="26" t="inlineStr">
        <is>
          <t>INC</t>
        </is>
      </c>
      <c r="K32" s="24" t="n">
        <v>34</v>
      </c>
      <c r="L32" s="27">
        <f>I32-F32</f>
        <v/>
      </c>
      <c r="M32" s="24" t="n">
        <v>29</v>
      </c>
      <c r="N32" s="24" t="n">
        <v>300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30" t="inlineStr">
        <is>
          <t>Lost Both Times (Deficit)</t>
        </is>
      </c>
      <c r="E33" s="31" t="n">
        <v>76</v>
      </c>
      <c r="F33" s="32">
        <f>76/353</f>
        <v/>
      </c>
      <c r="G33" s="33" t="inlineStr">
        <is>
          <t>INC</t>
        </is>
      </c>
      <c r="H33" s="31" t="n">
        <v>107</v>
      </c>
      <c r="I33" s="32">
        <f>107/361</f>
        <v/>
      </c>
      <c r="J33" s="33" t="inlineStr">
        <is>
          <t>INC</t>
        </is>
      </c>
      <c r="K33" s="31" t="n">
        <v>31</v>
      </c>
      <c r="L33" s="34">
        <f>I33-F33</f>
        <v/>
      </c>
      <c r="M33" s="31" t="n">
        <v>23</v>
      </c>
      <c r="N33" s="31" t="n">
        <v>361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30" t="inlineStr">
        <is>
          <t>Lost Both Times (Deficit)</t>
        </is>
      </c>
      <c r="E34" s="24" t="n">
        <v>56</v>
      </c>
      <c r="F34" s="25">
        <f>56/389</f>
        <v/>
      </c>
      <c r="G34" s="26" t="inlineStr">
        <is>
          <t>INC</t>
        </is>
      </c>
      <c r="H34" s="24" t="n">
        <v>96</v>
      </c>
      <c r="I34" s="25">
        <f>96/363</f>
        <v/>
      </c>
      <c r="J34" s="26" t="inlineStr">
        <is>
          <t>INC</t>
        </is>
      </c>
      <c r="K34" s="24" t="n">
        <v>40</v>
      </c>
      <c r="L34" s="27">
        <f>I34-F34</f>
        <v/>
      </c>
      <c r="M34" s="24" t="n">
        <v>40</v>
      </c>
      <c r="N34" s="24" t="n">
        <v>363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36" t="inlineStr">
        <is>
          <t>Weak Booth (&lt; 20% Share)</t>
        </is>
      </c>
      <c r="E35" s="31" t="n">
        <v>94</v>
      </c>
      <c r="F35" s="32">
        <f>94/598</f>
        <v/>
      </c>
      <c r="G35" s="33" t="inlineStr">
        <is>
          <t>INC</t>
        </is>
      </c>
      <c r="H35" s="31" t="n">
        <v>98</v>
      </c>
      <c r="I35" s="32">
        <f>98/517</f>
        <v/>
      </c>
      <c r="J35" s="33" t="inlineStr">
        <is>
          <t>INC</t>
        </is>
      </c>
      <c r="K35" s="31" t="n">
        <v>4</v>
      </c>
      <c r="L35" s="34">
        <f>I35-F35</f>
        <v/>
      </c>
      <c r="M35" s="31" t="n">
        <v>200</v>
      </c>
      <c r="N35" s="31" t="n">
        <v>517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35" t="inlineStr">
        <is>
          <t>Gained in 2024 (New Win)</t>
        </is>
      </c>
      <c r="E36" s="24" t="n">
        <v>176</v>
      </c>
      <c r="F36" s="25">
        <f>176/629</f>
        <v/>
      </c>
      <c r="G36" s="26" t="inlineStr">
        <is>
          <t>INC</t>
        </is>
      </c>
      <c r="H36" s="24" t="n">
        <v>194</v>
      </c>
      <c r="I36" s="25">
        <f>194/653</f>
        <v/>
      </c>
      <c r="J36" s="26" t="inlineStr">
        <is>
          <t>AAP</t>
        </is>
      </c>
      <c r="K36" s="24" t="n">
        <v>18</v>
      </c>
      <c r="L36" s="27">
        <f>I36-F36</f>
        <v/>
      </c>
      <c r="M36" s="24" t="n">
        <v>4</v>
      </c>
      <c r="N36" s="24" t="n">
        <v>653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23" t="inlineStr">
        <is>
          <t>Won Both Times (Stronghold)</t>
        </is>
      </c>
      <c r="E37" s="31" t="n">
        <v>272</v>
      </c>
      <c r="F37" s="32">
        <f>272/661</f>
        <v/>
      </c>
      <c r="G37" s="33" t="inlineStr">
        <is>
          <t>AAP</t>
        </is>
      </c>
      <c r="H37" s="31" t="n">
        <v>162</v>
      </c>
      <c r="I37" s="32">
        <f>162/564</f>
        <v/>
      </c>
      <c r="J37" s="33" t="inlineStr">
        <is>
          <t>AAP</t>
        </is>
      </c>
      <c r="K37" s="31" t="n">
        <v>-110</v>
      </c>
      <c r="L37" s="34">
        <f>I37-F37</f>
        <v/>
      </c>
      <c r="M37" s="31" t="n">
        <v>25</v>
      </c>
      <c r="N37" s="31" t="n">
        <v>564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36" t="inlineStr">
        <is>
          <t>Weak Booth (&lt; 20% Share)</t>
        </is>
      </c>
      <c r="E38" s="24" t="n">
        <v>134</v>
      </c>
      <c r="F38" s="25">
        <f>134/797</f>
        <v/>
      </c>
      <c r="G38" s="26" t="inlineStr">
        <is>
          <t>SAD</t>
        </is>
      </c>
      <c r="H38" s="24" t="n">
        <v>48</v>
      </c>
      <c r="I38" s="25">
        <f>48/749</f>
        <v/>
      </c>
      <c r="J38" s="26" t="inlineStr">
        <is>
          <t>INC</t>
        </is>
      </c>
      <c r="K38" s="24" t="n">
        <v>-86</v>
      </c>
      <c r="L38" s="27">
        <f>I38-F38</f>
        <v/>
      </c>
      <c r="M38" s="24" t="n">
        <v>101</v>
      </c>
      <c r="N38" s="24" t="n">
        <v>749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30" t="inlineStr">
        <is>
          <t>Lost Both Times (Deficit)</t>
        </is>
      </c>
      <c r="E39" s="31" t="n">
        <v>124</v>
      </c>
      <c r="F39" s="32">
        <f>124/932</f>
        <v/>
      </c>
      <c r="G39" s="33" t="inlineStr">
        <is>
          <t>SAD</t>
        </is>
      </c>
      <c r="H39" s="31" t="n">
        <v>204</v>
      </c>
      <c r="I39" s="32">
        <f>204/858</f>
        <v/>
      </c>
      <c r="J39" s="33" t="inlineStr">
        <is>
          <t>INC</t>
        </is>
      </c>
      <c r="K39" s="31" t="n">
        <v>80</v>
      </c>
      <c r="L39" s="34">
        <f>I39-F39</f>
        <v/>
      </c>
      <c r="M39" s="31" t="n">
        <v>54</v>
      </c>
      <c r="N39" s="31" t="n">
        <v>858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36" t="inlineStr">
        <is>
          <t>Weak Booth (&lt; 20% Share)</t>
        </is>
      </c>
      <c r="E40" s="24" t="n">
        <v>78</v>
      </c>
      <c r="F40" s="25">
        <f>78/941</f>
        <v/>
      </c>
      <c r="G40" s="26" t="inlineStr">
        <is>
          <t>INC</t>
        </is>
      </c>
      <c r="H40" s="24" t="n">
        <v>149</v>
      </c>
      <c r="I40" s="25">
        <f>149/826</f>
        <v/>
      </c>
      <c r="J40" s="26" t="inlineStr">
        <is>
          <t>INC</t>
        </is>
      </c>
      <c r="K40" s="24" t="n">
        <v>71</v>
      </c>
      <c r="L40" s="27">
        <f>I40-F40</f>
        <v/>
      </c>
      <c r="M40" s="24" t="n">
        <v>290</v>
      </c>
      <c r="N40" s="24" t="n">
        <v>826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30" t="inlineStr">
        <is>
          <t>Lost Both Times (Deficit)</t>
        </is>
      </c>
      <c r="E41" s="31" t="n">
        <v>155</v>
      </c>
      <c r="F41" s="32">
        <f>155/520</f>
        <v/>
      </c>
      <c r="G41" s="33" t="inlineStr">
        <is>
          <t>INC</t>
        </is>
      </c>
      <c r="H41" s="31" t="n">
        <v>130</v>
      </c>
      <c r="I41" s="32">
        <f>130/452</f>
        <v/>
      </c>
      <c r="J41" s="33" t="inlineStr">
        <is>
          <t>INC</t>
        </is>
      </c>
      <c r="K41" s="31" t="n">
        <v>-25</v>
      </c>
      <c r="L41" s="34">
        <f>I41-F41</f>
        <v/>
      </c>
      <c r="M41" s="31" t="n">
        <v>28</v>
      </c>
      <c r="N41" s="31" t="n">
        <v>452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30" t="inlineStr">
        <is>
          <t>Lost Both Times (Deficit)</t>
        </is>
      </c>
      <c r="E42" s="24" t="n">
        <v>157</v>
      </c>
      <c r="F42" s="25">
        <f>157/407</f>
        <v/>
      </c>
      <c r="G42" s="26" t="inlineStr">
        <is>
          <t>INC</t>
        </is>
      </c>
      <c r="H42" s="24" t="n">
        <v>76</v>
      </c>
      <c r="I42" s="25">
        <f>76/349</f>
        <v/>
      </c>
      <c r="J42" s="26" t="inlineStr">
        <is>
          <t>INC</t>
        </is>
      </c>
      <c r="K42" s="24" t="n">
        <v>-81</v>
      </c>
      <c r="L42" s="27">
        <f>I42-F42</f>
        <v/>
      </c>
      <c r="M42" s="24" t="n">
        <v>114</v>
      </c>
      <c r="N42" s="24" t="n">
        <v>349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36" t="inlineStr">
        <is>
          <t>Weak Booth (&lt; 20% Share)</t>
        </is>
      </c>
      <c r="E43" s="31" t="n">
        <v>132</v>
      </c>
      <c r="F43" s="32">
        <f>132/590</f>
        <v/>
      </c>
      <c r="G43" s="33" t="inlineStr">
        <is>
          <t>INC</t>
        </is>
      </c>
      <c r="H43" s="31" t="n">
        <v>102</v>
      </c>
      <c r="I43" s="32">
        <f>102/512</f>
        <v/>
      </c>
      <c r="J43" s="33" t="inlineStr">
        <is>
          <t>INC</t>
        </is>
      </c>
      <c r="K43" s="31" t="n">
        <v>-30</v>
      </c>
      <c r="L43" s="34">
        <f>I43-F43</f>
        <v/>
      </c>
      <c r="M43" s="31" t="n">
        <v>121</v>
      </c>
      <c r="N43" s="31" t="n">
        <v>512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37" t="inlineStr">
        <is>
          <t>Lost in 2024 (to INC)</t>
        </is>
      </c>
      <c r="E44" s="24" t="n">
        <v>229</v>
      </c>
      <c r="F44" s="25">
        <f>229/566</f>
        <v/>
      </c>
      <c r="G44" s="26" t="inlineStr">
        <is>
          <t>AAP</t>
        </is>
      </c>
      <c r="H44" s="24" t="n">
        <v>156</v>
      </c>
      <c r="I44" s="25">
        <f>156/480</f>
        <v/>
      </c>
      <c r="J44" s="26" t="inlineStr">
        <is>
          <t>INC</t>
        </is>
      </c>
      <c r="K44" s="24" t="n">
        <v>-73</v>
      </c>
      <c r="L44" s="27">
        <f>I44-F44</f>
        <v/>
      </c>
      <c r="M44" s="24" t="n">
        <v>6</v>
      </c>
      <c r="N44" s="24" t="n">
        <v>480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30" t="inlineStr">
        <is>
          <t>Lost Both Times (Deficit)</t>
        </is>
      </c>
      <c r="E45" s="31" t="n">
        <v>231</v>
      </c>
      <c r="F45" s="32">
        <f>231/695</f>
        <v/>
      </c>
      <c r="G45" s="33" t="inlineStr">
        <is>
          <t>INC</t>
        </is>
      </c>
      <c r="H45" s="31" t="n">
        <v>199</v>
      </c>
      <c r="I45" s="32">
        <f>199/637</f>
        <v/>
      </c>
      <c r="J45" s="33" t="inlineStr">
        <is>
          <t>INC</t>
        </is>
      </c>
      <c r="K45" s="31" t="n">
        <v>-32</v>
      </c>
      <c r="L45" s="34">
        <f>I45-F45</f>
        <v/>
      </c>
      <c r="M45" s="31" t="n">
        <v>73</v>
      </c>
      <c r="N45" s="31" t="n">
        <v>637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35" t="inlineStr">
        <is>
          <t>Gained in 2024 (New Win)</t>
        </is>
      </c>
      <c r="E46" s="24" t="n">
        <v>71</v>
      </c>
      <c r="F46" s="25">
        <f>71/240</f>
        <v/>
      </c>
      <c r="G46" s="26" t="inlineStr">
        <is>
          <t>SAD</t>
        </is>
      </c>
      <c r="H46" s="24" t="n">
        <v>90</v>
      </c>
      <c r="I46" s="25">
        <f>90/229</f>
        <v/>
      </c>
      <c r="J46" s="26" t="inlineStr">
        <is>
          <t>AAP</t>
        </is>
      </c>
      <c r="K46" s="24" t="n">
        <v>19</v>
      </c>
      <c r="L46" s="27">
        <f>I46-F46</f>
        <v/>
      </c>
      <c r="M46" s="24" t="n">
        <v>18</v>
      </c>
      <c r="N46" s="24" t="n">
        <v>229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30" t="inlineStr">
        <is>
          <t>Lost Both Times (Deficit)</t>
        </is>
      </c>
      <c r="E47" s="31" t="n">
        <v>89</v>
      </c>
      <c r="F47" s="32">
        <f>89/490</f>
        <v/>
      </c>
      <c r="G47" s="33" t="inlineStr">
        <is>
          <t>INC</t>
        </is>
      </c>
      <c r="H47" s="31" t="n">
        <v>129</v>
      </c>
      <c r="I47" s="32">
        <f>129/404</f>
        <v/>
      </c>
      <c r="J47" s="33" t="inlineStr">
        <is>
          <t>INC</t>
        </is>
      </c>
      <c r="K47" s="31" t="n">
        <v>40</v>
      </c>
      <c r="L47" s="34">
        <f>I47-F47</f>
        <v/>
      </c>
      <c r="M47" s="31" t="n">
        <v>21</v>
      </c>
      <c r="N47" s="31" t="n">
        <v>404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30" t="inlineStr">
        <is>
          <t>Lost Both Times (Deficit)</t>
        </is>
      </c>
      <c r="E48" s="24" t="n">
        <v>152</v>
      </c>
      <c r="F48" s="25">
        <f>152/508</f>
        <v/>
      </c>
      <c r="G48" s="26" t="inlineStr">
        <is>
          <t>INC</t>
        </is>
      </c>
      <c r="H48" s="24" t="n">
        <v>133</v>
      </c>
      <c r="I48" s="25">
        <f>133/475</f>
        <v/>
      </c>
      <c r="J48" s="26" t="inlineStr">
        <is>
          <t>INC</t>
        </is>
      </c>
      <c r="K48" s="24" t="n">
        <v>-19</v>
      </c>
      <c r="L48" s="27">
        <f>I48-F48</f>
        <v/>
      </c>
      <c r="M48" s="24" t="n">
        <v>102</v>
      </c>
      <c r="N48" s="24" t="n">
        <v>475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35" t="inlineStr">
        <is>
          <t>Gained in 2024 (New Win)</t>
        </is>
      </c>
      <c r="E49" s="31" t="n">
        <v>129</v>
      </c>
      <c r="F49" s="32">
        <f>129/614</f>
        <v/>
      </c>
      <c r="G49" s="33" t="inlineStr">
        <is>
          <t>SAD</t>
        </is>
      </c>
      <c r="H49" s="31" t="n">
        <v>193</v>
      </c>
      <c r="I49" s="32">
        <f>193/501</f>
        <v/>
      </c>
      <c r="J49" s="33" t="inlineStr">
        <is>
          <t>AAP</t>
        </is>
      </c>
      <c r="K49" s="31" t="n">
        <v>64</v>
      </c>
      <c r="L49" s="34">
        <f>I49-F49</f>
        <v/>
      </c>
      <c r="M49" s="31" t="n">
        <v>21</v>
      </c>
      <c r="N49" s="31" t="n">
        <v>501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30" t="inlineStr">
        <is>
          <t>Lost Both Times (Deficit)</t>
        </is>
      </c>
      <c r="E50" s="24" t="n">
        <v>47</v>
      </c>
      <c r="F50" s="25">
        <f>47/299</f>
        <v/>
      </c>
      <c r="G50" s="26" t="inlineStr">
        <is>
          <t>INC</t>
        </is>
      </c>
      <c r="H50" s="24" t="n">
        <v>64</v>
      </c>
      <c r="I50" s="25">
        <f>64/265</f>
        <v/>
      </c>
      <c r="J50" s="26" t="inlineStr">
        <is>
          <t>INC</t>
        </is>
      </c>
      <c r="K50" s="24" t="n">
        <v>17</v>
      </c>
      <c r="L50" s="27">
        <f>I50-F50</f>
        <v/>
      </c>
      <c r="M50" s="24" t="n">
        <v>27</v>
      </c>
      <c r="N50" s="24" t="n">
        <v>265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30" t="inlineStr">
        <is>
          <t>Lost Both Times (Deficit)</t>
        </is>
      </c>
      <c r="E51" s="31" t="n">
        <v>158</v>
      </c>
      <c r="F51" s="32">
        <f>158/679</f>
        <v/>
      </c>
      <c r="G51" s="33" t="inlineStr">
        <is>
          <t>SAD</t>
        </is>
      </c>
      <c r="H51" s="31" t="n">
        <v>141</v>
      </c>
      <c r="I51" s="32">
        <f>141/513</f>
        <v/>
      </c>
      <c r="J51" s="33" t="inlineStr">
        <is>
          <t>BJP</t>
        </is>
      </c>
      <c r="K51" s="31" t="n">
        <v>-17</v>
      </c>
      <c r="L51" s="34">
        <f>I51-F51</f>
        <v/>
      </c>
      <c r="M51" s="31" t="n">
        <v>10</v>
      </c>
      <c r="N51" s="31" t="n">
        <v>513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23" t="inlineStr">
        <is>
          <t>Won Both Times (Stronghold)</t>
        </is>
      </c>
      <c r="E52" s="24" t="n">
        <v>219</v>
      </c>
      <c r="F52" s="25">
        <f>219/594</f>
        <v/>
      </c>
      <c r="G52" s="26" t="inlineStr">
        <is>
          <t>AAP</t>
        </is>
      </c>
      <c r="H52" s="24" t="n">
        <v>211</v>
      </c>
      <c r="I52" s="25">
        <f>211/435</f>
        <v/>
      </c>
      <c r="J52" s="26" t="inlineStr">
        <is>
          <t>AAP</t>
        </is>
      </c>
      <c r="K52" s="24" t="n">
        <v>-8</v>
      </c>
      <c r="L52" s="27">
        <f>I52-F52</f>
        <v/>
      </c>
      <c r="M52" s="24" t="n">
        <v>110</v>
      </c>
      <c r="N52" s="24" t="n">
        <v>435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23" t="inlineStr">
        <is>
          <t>Won Both Times (Stronghold)</t>
        </is>
      </c>
      <c r="E53" s="31" t="n">
        <v>262</v>
      </c>
      <c r="F53" s="32">
        <f>262/627</f>
        <v/>
      </c>
      <c r="G53" s="33" t="inlineStr">
        <is>
          <t>AAP</t>
        </is>
      </c>
      <c r="H53" s="31" t="n">
        <v>187</v>
      </c>
      <c r="I53" s="32">
        <f>187/550</f>
        <v/>
      </c>
      <c r="J53" s="33" t="inlineStr">
        <is>
          <t>AAP</t>
        </is>
      </c>
      <c r="K53" s="31" t="n">
        <v>-75</v>
      </c>
      <c r="L53" s="34">
        <f>I53-F53</f>
        <v/>
      </c>
      <c r="M53" s="31" t="n">
        <v>16</v>
      </c>
      <c r="N53" s="31" t="n">
        <v>550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35" t="inlineStr">
        <is>
          <t>Gained in 2024 (New Win)</t>
        </is>
      </c>
      <c r="E54" s="24" t="n">
        <v>76</v>
      </c>
      <c r="F54" s="25">
        <f>76/284</f>
        <v/>
      </c>
      <c r="G54" s="26" t="inlineStr">
        <is>
          <t>SAD</t>
        </is>
      </c>
      <c r="H54" s="24" t="n">
        <v>84</v>
      </c>
      <c r="I54" s="25">
        <f>84/265</f>
        <v/>
      </c>
      <c r="J54" s="26" t="inlineStr">
        <is>
          <t>AAP</t>
        </is>
      </c>
      <c r="K54" s="24" t="n">
        <v>8</v>
      </c>
      <c r="L54" s="27">
        <f>I54-F54</f>
        <v/>
      </c>
      <c r="M54" s="24" t="n">
        <v>13</v>
      </c>
      <c r="N54" s="24" t="n">
        <v>265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36" t="inlineStr">
        <is>
          <t>Weak Booth (&lt; 20% Share)</t>
        </is>
      </c>
      <c r="E55" s="31" t="n">
        <v>91</v>
      </c>
      <c r="F55" s="32">
        <f>91/409</f>
        <v/>
      </c>
      <c r="G55" s="33" t="inlineStr">
        <is>
          <t>SAD</t>
        </is>
      </c>
      <c r="H55" s="31" t="n">
        <v>67</v>
      </c>
      <c r="I55" s="32">
        <f>67/380</f>
        <v/>
      </c>
      <c r="J55" s="33" t="inlineStr">
        <is>
          <t>INC</t>
        </is>
      </c>
      <c r="K55" s="31" t="n">
        <v>-24</v>
      </c>
      <c r="L55" s="34">
        <f>I55-F55</f>
        <v/>
      </c>
      <c r="M55" s="31" t="n">
        <v>98</v>
      </c>
      <c r="N55" s="31" t="n">
        <v>380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37" t="inlineStr">
        <is>
          <t>Lost in 2024 (to INC)</t>
        </is>
      </c>
      <c r="E56" s="24" t="n">
        <v>337</v>
      </c>
      <c r="F56" s="25">
        <f>337/853</f>
        <v/>
      </c>
      <c r="G56" s="26" t="inlineStr">
        <is>
          <t>AAP</t>
        </is>
      </c>
      <c r="H56" s="24" t="n">
        <v>234</v>
      </c>
      <c r="I56" s="25">
        <f>234/721</f>
        <v/>
      </c>
      <c r="J56" s="26" t="inlineStr">
        <is>
          <t>INC</t>
        </is>
      </c>
      <c r="K56" s="24" t="n">
        <v>-103</v>
      </c>
      <c r="L56" s="27">
        <f>I56-F56</f>
        <v/>
      </c>
      <c r="M56" s="24" t="n">
        <v>7</v>
      </c>
      <c r="N56" s="24" t="n">
        <v>721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30" t="inlineStr">
        <is>
          <t>Lost Both Times (Deficit)</t>
        </is>
      </c>
      <c r="E57" s="31" t="n">
        <v>167</v>
      </c>
      <c r="F57" s="32">
        <f>167/698</f>
        <v/>
      </c>
      <c r="G57" s="33" t="inlineStr">
        <is>
          <t>SAD</t>
        </is>
      </c>
      <c r="H57" s="31" t="n">
        <v>156</v>
      </c>
      <c r="I57" s="32">
        <f>156/579</f>
        <v/>
      </c>
      <c r="J57" s="33" t="inlineStr">
        <is>
          <t>INC</t>
        </is>
      </c>
      <c r="K57" s="31" t="n">
        <v>-11</v>
      </c>
      <c r="L57" s="34">
        <f>I57-F57</f>
        <v/>
      </c>
      <c r="M57" s="31" t="n">
        <v>89</v>
      </c>
      <c r="N57" s="31" t="n">
        <v>579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36" t="inlineStr">
        <is>
          <t>Weak Booth (&lt; 20% Share)</t>
        </is>
      </c>
      <c r="E58" s="24" t="n">
        <v>164</v>
      </c>
      <c r="F58" s="25">
        <f>164/776</f>
        <v/>
      </c>
      <c r="G58" s="26" t="inlineStr">
        <is>
          <t>SAD</t>
        </is>
      </c>
      <c r="H58" s="24" t="n">
        <v>80</v>
      </c>
      <c r="I58" s="25">
        <f>80/681</f>
        <v/>
      </c>
      <c r="J58" s="26" t="inlineStr">
        <is>
          <t>SAD</t>
        </is>
      </c>
      <c r="K58" s="24" t="n">
        <v>-84</v>
      </c>
      <c r="L58" s="27">
        <f>I58-F58</f>
        <v/>
      </c>
      <c r="M58" s="24" t="n">
        <v>85</v>
      </c>
      <c r="N58" s="24" t="n">
        <v>681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36" t="inlineStr">
        <is>
          <t>Weak Booth (&lt; 20% Share)</t>
        </is>
      </c>
      <c r="E59" s="31" t="n">
        <v>200</v>
      </c>
      <c r="F59" s="32">
        <f>200/688</f>
        <v/>
      </c>
      <c r="G59" s="33" t="inlineStr">
        <is>
          <t>SAD</t>
        </is>
      </c>
      <c r="H59" s="31" t="n">
        <v>73</v>
      </c>
      <c r="I59" s="32">
        <f>73/550</f>
        <v/>
      </c>
      <c r="J59" s="33" t="inlineStr">
        <is>
          <t>SAD</t>
        </is>
      </c>
      <c r="K59" s="31" t="n">
        <v>-127</v>
      </c>
      <c r="L59" s="34">
        <f>I59-F59</f>
        <v/>
      </c>
      <c r="M59" s="31" t="n">
        <v>78</v>
      </c>
      <c r="N59" s="31" t="n">
        <v>550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36" t="inlineStr">
        <is>
          <t>Weak Booth (&lt; 20% Share)</t>
        </is>
      </c>
      <c r="E60" s="24" t="n">
        <v>66</v>
      </c>
      <c r="F60" s="25">
        <f>66/350</f>
        <v/>
      </c>
      <c r="G60" s="26" t="inlineStr">
        <is>
          <t>INC</t>
        </is>
      </c>
      <c r="H60" s="24" t="n">
        <v>46</v>
      </c>
      <c r="I60" s="25">
        <f>46/304</f>
        <v/>
      </c>
      <c r="J60" s="26" t="inlineStr">
        <is>
          <t>SAD</t>
        </is>
      </c>
      <c r="K60" s="24" t="n">
        <v>-20</v>
      </c>
      <c r="L60" s="27">
        <f>I60-F60</f>
        <v/>
      </c>
      <c r="M60" s="24" t="n">
        <v>21</v>
      </c>
      <c r="N60" s="24" t="n">
        <v>304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36" t="inlineStr">
        <is>
          <t>Weak Booth (&lt; 20% Share)</t>
        </is>
      </c>
      <c r="E61" s="31" t="n">
        <v>108</v>
      </c>
      <c r="F61" s="32">
        <f>108/679</f>
        <v/>
      </c>
      <c r="G61" s="33" t="inlineStr">
        <is>
          <t>SAD</t>
        </is>
      </c>
      <c r="H61" s="31" t="n">
        <v>52</v>
      </c>
      <c r="I61" s="32">
        <f>52/526</f>
        <v/>
      </c>
      <c r="J61" s="33" t="inlineStr">
        <is>
          <t>SAD</t>
        </is>
      </c>
      <c r="K61" s="31" t="n">
        <v>-56</v>
      </c>
      <c r="L61" s="34">
        <f>I61-F61</f>
        <v/>
      </c>
      <c r="M61" s="31" t="n">
        <v>142</v>
      </c>
      <c r="N61" s="31" t="n">
        <v>526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36" t="inlineStr">
        <is>
          <t>Weak Booth (&lt; 20% Share)</t>
        </is>
      </c>
      <c r="E62" s="24" t="n">
        <v>101</v>
      </c>
      <c r="F62" s="25">
        <f>101/642</f>
        <v/>
      </c>
      <c r="G62" s="26" t="inlineStr">
        <is>
          <t>SAD</t>
        </is>
      </c>
      <c r="H62" s="24" t="n">
        <v>51</v>
      </c>
      <c r="I62" s="25">
        <f>51/531</f>
        <v/>
      </c>
      <c r="J62" s="26" t="inlineStr">
        <is>
          <t>SAD</t>
        </is>
      </c>
      <c r="K62" s="24" t="n">
        <v>-50</v>
      </c>
      <c r="L62" s="27">
        <f>I62-F62</f>
        <v/>
      </c>
      <c r="M62" s="24" t="n">
        <v>89</v>
      </c>
      <c r="N62" s="24" t="n">
        <v>531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30" t="inlineStr">
        <is>
          <t>Lost Both Times (Deficit)</t>
        </is>
      </c>
      <c r="E63" s="31" t="n">
        <v>100</v>
      </c>
      <c r="F63" s="32">
        <f>100/405</f>
        <v/>
      </c>
      <c r="G63" s="33" t="inlineStr">
        <is>
          <t>SAD</t>
        </is>
      </c>
      <c r="H63" s="31" t="n">
        <v>90</v>
      </c>
      <c r="I63" s="32">
        <f>90/394</f>
        <v/>
      </c>
      <c r="J63" s="33" t="inlineStr">
        <is>
          <t>INC</t>
        </is>
      </c>
      <c r="K63" s="31" t="n">
        <v>-10</v>
      </c>
      <c r="L63" s="34">
        <f>I63-F63</f>
        <v/>
      </c>
      <c r="M63" s="31" t="n">
        <v>12</v>
      </c>
      <c r="N63" s="31" t="n">
        <v>394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30" t="inlineStr">
        <is>
          <t>Lost Both Times (Deficit)</t>
        </is>
      </c>
      <c r="E64" s="24" t="n">
        <v>168</v>
      </c>
      <c r="F64" s="25">
        <f>168/573</f>
        <v/>
      </c>
      <c r="G64" s="26" t="inlineStr">
        <is>
          <t>INC</t>
        </is>
      </c>
      <c r="H64" s="24" t="n">
        <v>118</v>
      </c>
      <c r="I64" s="25">
        <f>118/483</f>
        <v/>
      </c>
      <c r="J64" s="26" t="inlineStr">
        <is>
          <t>BJP</t>
        </is>
      </c>
      <c r="K64" s="24" t="n">
        <v>-50</v>
      </c>
      <c r="L64" s="27">
        <f>I64-F64</f>
        <v/>
      </c>
      <c r="M64" s="24" t="n">
        <v>73</v>
      </c>
      <c r="N64" s="24" t="n">
        <v>483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35" t="inlineStr">
        <is>
          <t>Gained in 2024 (New Win)</t>
        </is>
      </c>
      <c r="E65" s="31" t="n">
        <v>203</v>
      </c>
      <c r="F65" s="32">
        <f>203/696</f>
        <v/>
      </c>
      <c r="G65" s="33" t="inlineStr">
        <is>
          <t>SAD</t>
        </is>
      </c>
      <c r="H65" s="31" t="n">
        <v>191</v>
      </c>
      <c r="I65" s="32">
        <f>191/606</f>
        <v/>
      </c>
      <c r="J65" s="33" t="inlineStr">
        <is>
          <t>AAP</t>
        </is>
      </c>
      <c r="K65" s="31" t="n">
        <v>-12</v>
      </c>
      <c r="L65" s="34">
        <f>I65-F65</f>
        <v/>
      </c>
      <c r="M65" s="31" t="n">
        <v>14</v>
      </c>
      <c r="N65" s="31" t="n">
        <v>606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35" t="inlineStr">
        <is>
          <t>Gained in 2024 (New Win)</t>
        </is>
      </c>
      <c r="E66" s="24" t="n">
        <v>116</v>
      </c>
      <c r="F66" s="25">
        <f>116/508</f>
        <v/>
      </c>
      <c r="G66" s="26" t="inlineStr">
        <is>
          <t>INC</t>
        </is>
      </c>
      <c r="H66" s="24" t="n">
        <v>188</v>
      </c>
      <c r="I66" s="25">
        <f>188/450</f>
        <v/>
      </c>
      <c r="J66" s="26" t="inlineStr">
        <is>
          <t>AAP</t>
        </is>
      </c>
      <c r="K66" s="24" t="n">
        <v>72</v>
      </c>
      <c r="L66" s="27">
        <f>I66-F66</f>
        <v/>
      </c>
      <c r="M66" s="24" t="n">
        <v>15</v>
      </c>
      <c r="N66" s="24" t="n">
        <v>450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30" t="inlineStr">
        <is>
          <t>Lost Both Times (Deficit)</t>
        </is>
      </c>
      <c r="E67" s="31" t="n">
        <v>149</v>
      </c>
      <c r="F67" s="32">
        <f>149/601</f>
        <v/>
      </c>
      <c r="G67" s="33" t="inlineStr">
        <is>
          <t>SAD</t>
        </is>
      </c>
      <c r="H67" s="31" t="n">
        <v>158</v>
      </c>
      <c r="I67" s="32">
        <f>158/551</f>
        <v/>
      </c>
      <c r="J67" s="33" t="inlineStr">
        <is>
          <t>INC</t>
        </is>
      </c>
      <c r="K67" s="31" t="n">
        <v>9</v>
      </c>
      <c r="L67" s="34">
        <f>I67-F67</f>
        <v/>
      </c>
      <c r="M67" s="31" t="n">
        <v>47</v>
      </c>
      <c r="N67" s="31" t="n">
        <v>551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36" t="inlineStr">
        <is>
          <t>Weak Booth (&lt; 20% Share)</t>
        </is>
      </c>
      <c r="E68" s="24" t="n">
        <v>81</v>
      </c>
      <c r="F68" s="25">
        <f>81/676</f>
        <v/>
      </c>
      <c r="G68" s="26" t="inlineStr">
        <is>
          <t>SAD</t>
        </is>
      </c>
      <c r="H68" s="24" t="n">
        <v>73</v>
      </c>
      <c r="I68" s="25">
        <f>73/495</f>
        <v/>
      </c>
      <c r="J68" s="26" t="inlineStr">
        <is>
          <t>INC</t>
        </is>
      </c>
      <c r="K68" s="24" t="n">
        <v>-8</v>
      </c>
      <c r="L68" s="27">
        <f>I68-F68</f>
        <v/>
      </c>
      <c r="M68" s="24" t="n">
        <v>115</v>
      </c>
      <c r="N68" s="24" t="n">
        <v>495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35" t="inlineStr">
        <is>
          <t>Gained in 2024 (New Win)</t>
        </is>
      </c>
      <c r="E69" s="31" t="n">
        <v>103</v>
      </c>
      <c r="F69" s="32">
        <f>103/492</f>
        <v/>
      </c>
      <c r="G69" s="33" t="inlineStr">
        <is>
          <t>INC</t>
        </is>
      </c>
      <c r="H69" s="31" t="n">
        <v>206</v>
      </c>
      <c r="I69" s="32">
        <f>206/407</f>
        <v/>
      </c>
      <c r="J69" s="33" t="inlineStr">
        <is>
          <t>AAP</t>
        </is>
      </c>
      <c r="K69" s="31" t="n">
        <v>103</v>
      </c>
      <c r="L69" s="34">
        <f>I69-F69</f>
        <v/>
      </c>
      <c r="M69" s="31" t="n">
        <v>156</v>
      </c>
      <c r="N69" s="31" t="n">
        <v>407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30" t="inlineStr">
        <is>
          <t>Lost Both Times (Deficit)</t>
        </is>
      </c>
      <c r="E70" s="24" t="n">
        <v>56</v>
      </c>
      <c r="F70" s="25">
        <f>56/426</f>
        <v/>
      </c>
      <c r="G70" s="26" t="inlineStr">
        <is>
          <t>SAD</t>
        </is>
      </c>
      <c r="H70" s="24" t="n">
        <v>98</v>
      </c>
      <c r="I70" s="25">
        <f>98/376</f>
        <v/>
      </c>
      <c r="J70" s="26" t="inlineStr">
        <is>
          <t>BJP</t>
        </is>
      </c>
      <c r="K70" s="24" t="n">
        <v>42</v>
      </c>
      <c r="L70" s="27">
        <f>I70-F70</f>
        <v/>
      </c>
      <c r="M70" s="24" t="n">
        <v>6</v>
      </c>
      <c r="N70" s="24" t="n">
        <v>376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30" t="inlineStr">
        <is>
          <t>Lost Both Times (Deficit)</t>
        </is>
      </c>
      <c r="E71" s="31" t="n">
        <v>67</v>
      </c>
      <c r="F71" s="32">
        <f>67/521</f>
        <v/>
      </c>
      <c r="G71" s="33" t="inlineStr">
        <is>
          <t>INC</t>
        </is>
      </c>
      <c r="H71" s="31" t="n">
        <v>125</v>
      </c>
      <c r="I71" s="32">
        <f>125/523</f>
        <v/>
      </c>
      <c r="J71" s="33" t="inlineStr">
        <is>
          <t>INC</t>
        </is>
      </c>
      <c r="K71" s="31" t="n">
        <v>58</v>
      </c>
      <c r="L71" s="34">
        <f>I71-F71</f>
        <v/>
      </c>
      <c r="M71" s="31" t="n">
        <v>154</v>
      </c>
      <c r="N71" s="31" t="n">
        <v>523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37" t="inlineStr">
        <is>
          <t>Lost in 2024 (to BJP)</t>
        </is>
      </c>
      <c r="E72" s="24" t="n">
        <v>173</v>
      </c>
      <c r="F72" s="25">
        <f>173/449</f>
        <v/>
      </c>
      <c r="G72" s="26" t="inlineStr">
        <is>
          <t>AAP</t>
        </is>
      </c>
      <c r="H72" s="24" t="n">
        <v>122</v>
      </c>
      <c r="I72" s="25">
        <f>122/457</f>
        <v/>
      </c>
      <c r="J72" s="26" t="inlineStr">
        <is>
          <t>BJP</t>
        </is>
      </c>
      <c r="K72" s="24" t="n">
        <v>-51</v>
      </c>
      <c r="L72" s="27">
        <f>I72-F72</f>
        <v/>
      </c>
      <c r="M72" s="24" t="n">
        <v>9</v>
      </c>
      <c r="N72" s="24" t="n">
        <v>457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30" t="inlineStr">
        <is>
          <t>Lost Both Times (Deficit)</t>
        </is>
      </c>
      <c r="E73" s="31" t="n">
        <v>201</v>
      </c>
      <c r="F73" s="32">
        <f>201/653</f>
        <v/>
      </c>
      <c r="G73" s="33" t="inlineStr">
        <is>
          <t>SAD</t>
        </is>
      </c>
      <c r="H73" s="31" t="n">
        <v>149</v>
      </c>
      <c r="I73" s="32">
        <f>149/598</f>
        <v/>
      </c>
      <c r="J73" s="33" t="inlineStr">
        <is>
          <t>INC</t>
        </is>
      </c>
      <c r="K73" s="31" t="n">
        <v>-52</v>
      </c>
      <c r="L73" s="34">
        <f>I73-F73</f>
        <v/>
      </c>
      <c r="M73" s="31" t="n">
        <v>57</v>
      </c>
      <c r="N73" s="31" t="n">
        <v>598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36" t="inlineStr">
        <is>
          <t>Weak Booth (&lt; 20% Share)</t>
        </is>
      </c>
      <c r="E74" s="24" t="n">
        <v>174</v>
      </c>
      <c r="F74" s="25">
        <f>174/758</f>
        <v/>
      </c>
      <c r="G74" s="26" t="inlineStr">
        <is>
          <t>INC</t>
        </is>
      </c>
      <c r="H74" s="24" t="n">
        <v>74</v>
      </c>
      <c r="I74" s="25">
        <f>74/659</f>
        <v/>
      </c>
      <c r="J74" s="26" t="inlineStr">
        <is>
          <t>INC</t>
        </is>
      </c>
      <c r="K74" s="24" t="n">
        <v>-100</v>
      </c>
      <c r="L74" s="27">
        <f>I74-F74</f>
        <v/>
      </c>
      <c r="M74" s="24" t="n">
        <v>106</v>
      </c>
      <c r="N74" s="24" t="n">
        <v>659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30" t="inlineStr">
        <is>
          <t>Lost Both Times (Deficit)</t>
        </is>
      </c>
      <c r="E75" s="31" t="n">
        <v>79</v>
      </c>
      <c r="F75" s="32">
        <f>79/429</f>
        <v/>
      </c>
      <c r="G75" s="33" t="inlineStr">
        <is>
          <t>INC</t>
        </is>
      </c>
      <c r="H75" s="31" t="n">
        <v>102</v>
      </c>
      <c r="I75" s="32">
        <f>102/404</f>
        <v/>
      </c>
      <c r="J75" s="33" t="inlineStr">
        <is>
          <t>SAD</t>
        </is>
      </c>
      <c r="K75" s="31" t="n">
        <v>23</v>
      </c>
      <c r="L75" s="34">
        <f>I75-F75</f>
        <v/>
      </c>
      <c r="M75" s="31" t="n">
        <v>2</v>
      </c>
      <c r="N75" s="31" t="n">
        <v>404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35" t="inlineStr">
        <is>
          <t>Gained in 2024 (New Win)</t>
        </is>
      </c>
      <c r="E76" s="24" t="n">
        <v>79</v>
      </c>
      <c r="F76" s="25">
        <f>79/430</f>
        <v/>
      </c>
      <c r="G76" s="26" t="inlineStr">
        <is>
          <t>SAD</t>
        </is>
      </c>
      <c r="H76" s="24" t="n">
        <v>161</v>
      </c>
      <c r="I76" s="25">
        <f>161/431</f>
        <v/>
      </c>
      <c r="J76" s="26" t="inlineStr">
        <is>
          <t>AAP</t>
        </is>
      </c>
      <c r="K76" s="24" t="n">
        <v>82</v>
      </c>
      <c r="L76" s="27">
        <f>I76-F76</f>
        <v/>
      </c>
      <c r="M76" s="24" t="n">
        <v>55</v>
      </c>
      <c r="N76" s="24" t="n">
        <v>431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30" t="inlineStr">
        <is>
          <t>Lost Both Times (Deficit)</t>
        </is>
      </c>
      <c r="E77" s="31" t="n">
        <v>197</v>
      </c>
      <c r="F77" s="32">
        <f>197/681</f>
        <v/>
      </c>
      <c r="G77" s="33" t="inlineStr">
        <is>
          <t>INC</t>
        </is>
      </c>
      <c r="H77" s="31" t="n">
        <v>146</v>
      </c>
      <c r="I77" s="32">
        <f>146/543</f>
        <v/>
      </c>
      <c r="J77" s="33" t="inlineStr">
        <is>
          <t>INC</t>
        </is>
      </c>
      <c r="K77" s="31" t="n">
        <v>-51</v>
      </c>
      <c r="L77" s="34">
        <f>I77-F77</f>
        <v/>
      </c>
      <c r="M77" s="31" t="n">
        <v>86</v>
      </c>
      <c r="N77" s="31" t="n">
        <v>543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30" t="inlineStr">
        <is>
          <t>Lost Both Times (Deficit)</t>
        </is>
      </c>
      <c r="E78" s="24" t="n">
        <v>140</v>
      </c>
      <c r="F78" s="25">
        <f>140/676</f>
        <v/>
      </c>
      <c r="G78" s="26" t="inlineStr">
        <is>
          <t>INC</t>
        </is>
      </c>
      <c r="H78" s="24" t="n">
        <v>134</v>
      </c>
      <c r="I78" s="25">
        <f>134/504</f>
        <v/>
      </c>
      <c r="J78" s="26" t="inlineStr">
        <is>
          <t>INC</t>
        </is>
      </c>
      <c r="K78" s="24" t="n">
        <v>-6</v>
      </c>
      <c r="L78" s="27">
        <f>I78-F78</f>
        <v/>
      </c>
      <c r="M78" s="24" t="n">
        <v>130</v>
      </c>
      <c r="N78" s="24" t="n">
        <v>504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23" t="inlineStr">
        <is>
          <t>Won Both Times (Stronghold)</t>
        </is>
      </c>
      <c r="E79" s="31" t="n">
        <v>322</v>
      </c>
      <c r="F79" s="32">
        <f>322/660</f>
        <v/>
      </c>
      <c r="G79" s="33" t="inlineStr">
        <is>
          <t>AAP</t>
        </is>
      </c>
      <c r="H79" s="31" t="n">
        <v>313</v>
      </c>
      <c r="I79" s="32">
        <f>313/594</f>
        <v/>
      </c>
      <c r="J79" s="33" t="inlineStr">
        <is>
          <t>AAP</t>
        </is>
      </c>
      <c r="K79" s="31" t="n">
        <v>-9</v>
      </c>
      <c r="L79" s="34">
        <f>I79-F79</f>
        <v/>
      </c>
      <c r="M79" s="31" t="n">
        <v>126</v>
      </c>
      <c r="N79" s="31" t="n">
        <v>594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30" t="inlineStr">
        <is>
          <t>Lost Both Times (Deficit)</t>
        </is>
      </c>
      <c r="E80" s="24" t="n">
        <v>286</v>
      </c>
      <c r="F80" s="25">
        <f>286/872</f>
        <v/>
      </c>
      <c r="G80" s="26" t="inlineStr">
        <is>
          <t>INC</t>
        </is>
      </c>
      <c r="H80" s="24" t="n">
        <v>200</v>
      </c>
      <c r="I80" s="25">
        <f>200/727</f>
        <v/>
      </c>
      <c r="J80" s="26" t="inlineStr">
        <is>
          <t>INC</t>
        </is>
      </c>
      <c r="K80" s="24" t="n">
        <v>-86</v>
      </c>
      <c r="L80" s="27">
        <f>I80-F80</f>
        <v/>
      </c>
      <c r="M80" s="24" t="n">
        <v>19</v>
      </c>
      <c r="N80" s="24" t="n">
        <v>727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35" t="inlineStr">
        <is>
          <t>Gained in 2024 (New Win)</t>
        </is>
      </c>
      <c r="E81" s="31" t="n">
        <v>286</v>
      </c>
      <c r="F81" s="32">
        <f>286/848</f>
        <v/>
      </c>
      <c r="G81" s="33" t="inlineStr">
        <is>
          <t>INC</t>
        </is>
      </c>
      <c r="H81" s="31" t="n">
        <v>250</v>
      </c>
      <c r="I81" s="32">
        <f>250/703</f>
        <v/>
      </c>
      <c r="J81" s="33" t="inlineStr">
        <is>
          <t>AAP</t>
        </is>
      </c>
      <c r="K81" s="31" t="n">
        <v>-36</v>
      </c>
      <c r="L81" s="34">
        <f>I81-F81</f>
        <v/>
      </c>
      <c r="M81" s="31" t="n">
        <v>55</v>
      </c>
      <c r="N81" s="31" t="n">
        <v>703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36" t="inlineStr">
        <is>
          <t>Weak Booth (&lt; 20% Share)</t>
        </is>
      </c>
      <c r="E82" s="24" t="n">
        <v>108</v>
      </c>
      <c r="F82" s="25">
        <f>108/772</f>
        <v/>
      </c>
      <c r="G82" s="26" t="inlineStr">
        <is>
          <t>INC</t>
        </is>
      </c>
      <c r="H82" s="24" t="n">
        <v>141</v>
      </c>
      <c r="I82" s="25">
        <f>141/710</f>
        <v/>
      </c>
      <c r="J82" s="26" t="inlineStr">
        <is>
          <t>INC</t>
        </is>
      </c>
      <c r="K82" s="24" t="n">
        <v>33</v>
      </c>
      <c r="L82" s="27">
        <f>I82-F82</f>
        <v/>
      </c>
      <c r="M82" s="24" t="n">
        <v>217</v>
      </c>
      <c r="N82" s="24" t="n">
        <v>710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23" t="inlineStr">
        <is>
          <t>Won Both Times (Stronghold)</t>
        </is>
      </c>
      <c r="E83" s="31" t="n">
        <v>154</v>
      </c>
      <c r="F83" s="32">
        <f>154/400</f>
        <v/>
      </c>
      <c r="G83" s="33" t="inlineStr">
        <is>
          <t>AAP</t>
        </is>
      </c>
      <c r="H83" s="31" t="n">
        <v>149</v>
      </c>
      <c r="I83" s="32">
        <f>149/374</f>
        <v/>
      </c>
      <c r="J83" s="33" t="inlineStr">
        <is>
          <t>AAP</t>
        </is>
      </c>
      <c r="K83" s="31" t="n">
        <v>-5</v>
      </c>
      <c r="L83" s="34">
        <f>I83-F83</f>
        <v/>
      </c>
      <c r="M83" s="31" t="n">
        <v>60</v>
      </c>
      <c r="N83" s="31" t="n">
        <v>374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30" t="inlineStr">
        <is>
          <t>Lost Both Times (Deficit)</t>
        </is>
      </c>
      <c r="E84" s="24" t="n">
        <v>186</v>
      </c>
      <c r="F84" s="25">
        <f>186/691</f>
        <v/>
      </c>
      <c r="G84" s="26" t="inlineStr">
        <is>
          <t>INC</t>
        </is>
      </c>
      <c r="H84" s="24" t="n">
        <v>193</v>
      </c>
      <c r="I84" s="25">
        <f>193/586</f>
        <v/>
      </c>
      <c r="J84" s="26" t="inlineStr">
        <is>
          <t>INC</t>
        </is>
      </c>
      <c r="K84" s="24" t="n">
        <v>7</v>
      </c>
      <c r="L84" s="27">
        <f>I84-F84</f>
        <v/>
      </c>
      <c r="M84" s="24" t="n">
        <v>4</v>
      </c>
      <c r="N84" s="24" t="n">
        <v>586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37" t="inlineStr">
        <is>
          <t>Lost in 2024 (to INC)</t>
        </is>
      </c>
      <c r="E85" s="31" t="n">
        <v>192</v>
      </c>
      <c r="F85" s="32">
        <f>192/465</f>
        <v/>
      </c>
      <c r="G85" s="33" t="inlineStr">
        <is>
          <t>AAP</t>
        </is>
      </c>
      <c r="H85" s="31" t="n">
        <v>125</v>
      </c>
      <c r="I85" s="32">
        <f>125/385</f>
        <v/>
      </c>
      <c r="J85" s="33" t="inlineStr">
        <is>
          <t>INC</t>
        </is>
      </c>
      <c r="K85" s="31" t="n">
        <v>-67</v>
      </c>
      <c r="L85" s="34">
        <f>I85-F85</f>
        <v/>
      </c>
      <c r="M85" s="31" t="n">
        <v>16</v>
      </c>
      <c r="N85" s="31" t="n">
        <v>385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37" t="inlineStr">
        <is>
          <t>Lost in 2024 (to INC)</t>
        </is>
      </c>
      <c r="E86" s="24" t="n">
        <v>182</v>
      </c>
      <c r="F86" s="25">
        <f>182/512</f>
        <v/>
      </c>
      <c r="G86" s="26" t="inlineStr">
        <is>
          <t>AAP</t>
        </is>
      </c>
      <c r="H86" s="24" t="n">
        <v>111</v>
      </c>
      <c r="I86" s="25">
        <f>111/441</f>
        <v/>
      </c>
      <c r="J86" s="26" t="inlineStr">
        <is>
          <t>INC</t>
        </is>
      </c>
      <c r="K86" s="24" t="n">
        <v>-71</v>
      </c>
      <c r="L86" s="27">
        <f>I86-F86</f>
        <v/>
      </c>
      <c r="M86" s="24" t="n">
        <v>37</v>
      </c>
      <c r="N86" s="24" t="n">
        <v>441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37" t="inlineStr">
        <is>
          <t>Lost in 2024 (to INC)</t>
        </is>
      </c>
      <c r="E87" s="31" t="n">
        <v>183</v>
      </c>
      <c r="F87" s="32">
        <f>183/442</f>
        <v/>
      </c>
      <c r="G87" s="33" t="inlineStr">
        <is>
          <t>AAP</t>
        </is>
      </c>
      <c r="H87" s="31" t="n">
        <v>108</v>
      </c>
      <c r="I87" s="32">
        <f>108/363</f>
        <v/>
      </c>
      <c r="J87" s="33" t="inlineStr">
        <is>
          <t>INC</t>
        </is>
      </c>
      <c r="K87" s="31" t="n">
        <v>-75</v>
      </c>
      <c r="L87" s="34">
        <f>I87-F87</f>
        <v/>
      </c>
      <c r="M87" s="31" t="n">
        <v>25</v>
      </c>
      <c r="N87" s="31" t="n">
        <v>363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35" t="inlineStr">
        <is>
          <t>Gained in 2024 (New Win)</t>
        </is>
      </c>
      <c r="E88" s="24" t="n">
        <v>128</v>
      </c>
      <c r="F88" s="25">
        <f>128/640</f>
        <v/>
      </c>
      <c r="G88" s="26" t="inlineStr">
        <is>
          <t>INC</t>
        </is>
      </c>
      <c r="H88" s="24" t="n">
        <v>359</v>
      </c>
      <c r="I88" s="25">
        <f>359/561</f>
        <v/>
      </c>
      <c r="J88" s="26" t="inlineStr">
        <is>
          <t>AAP</t>
        </is>
      </c>
      <c r="K88" s="24" t="n">
        <v>231</v>
      </c>
      <c r="L88" s="27">
        <f>I88-F88</f>
        <v/>
      </c>
      <c r="M88" s="24" t="n">
        <v>295</v>
      </c>
      <c r="N88" s="24" t="n">
        <v>561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23" t="inlineStr">
        <is>
          <t>Won Both Times (Stronghold)</t>
        </is>
      </c>
      <c r="E89" s="31" t="n">
        <v>371</v>
      </c>
      <c r="F89" s="32">
        <f>371/763</f>
        <v/>
      </c>
      <c r="G89" s="33" t="inlineStr">
        <is>
          <t>AAP</t>
        </is>
      </c>
      <c r="H89" s="31" t="n">
        <v>304</v>
      </c>
      <c r="I89" s="32">
        <f>304/712</f>
        <v/>
      </c>
      <c r="J89" s="33" t="inlineStr">
        <is>
          <t>AAP</t>
        </is>
      </c>
      <c r="K89" s="31" t="n">
        <v>-67</v>
      </c>
      <c r="L89" s="34">
        <f>I89-F89</f>
        <v/>
      </c>
      <c r="M89" s="31" t="n">
        <v>73</v>
      </c>
      <c r="N89" s="31" t="n">
        <v>712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35" t="inlineStr">
        <is>
          <t>Gained in 2024 (New Win)</t>
        </is>
      </c>
      <c r="E90" s="24" t="n">
        <v>122</v>
      </c>
      <c r="F90" s="25">
        <f>122/540</f>
        <v/>
      </c>
      <c r="G90" s="26" t="inlineStr">
        <is>
          <t>INC</t>
        </is>
      </c>
      <c r="H90" s="24" t="n">
        <v>139</v>
      </c>
      <c r="I90" s="25">
        <f>139/497</f>
        <v/>
      </c>
      <c r="J90" s="26" t="inlineStr">
        <is>
          <t>AAP</t>
        </is>
      </c>
      <c r="K90" s="24" t="n">
        <v>17</v>
      </c>
      <c r="L90" s="27">
        <f>I90-F90</f>
        <v/>
      </c>
      <c r="M90" s="24" t="n">
        <v>16</v>
      </c>
      <c r="N90" s="24" t="n">
        <v>497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35" t="inlineStr">
        <is>
          <t>Gained in 2024 (New Win)</t>
        </is>
      </c>
      <c r="E91" s="31" t="n">
        <v>133</v>
      </c>
      <c r="F91" s="32">
        <f>133/470</f>
        <v/>
      </c>
      <c r="G91" s="33" t="inlineStr">
        <is>
          <t>SAD</t>
        </is>
      </c>
      <c r="H91" s="31" t="n">
        <v>135</v>
      </c>
      <c r="I91" s="32">
        <f>135/398</f>
        <v/>
      </c>
      <c r="J91" s="33" t="inlineStr">
        <is>
          <t>AAP</t>
        </is>
      </c>
      <c r="K91" s="31" t="n">
        <v>2</v>
      </c>
      <c r="L91" s="34">
        <f>I91-F91</f>
        <v/>
      </c>
      <c r="M91" s="31" t="n">
        <v>33</v>
      </c>
      <c r="N91" s="31" t="n">
        <v>398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30" t="inlineStr">
        <is>
          <t>Lost Both Times (Deficit)</t>
        </is>
      </c>
      <c r="E92" s="24" t="n">
        <v>279</v>
      </c>
      <c r="F92" s="25">
        <f>279/882</f>
        <v/>
      </c>
      <c r="G92" s="26" t="inlineStr">
        <is>
          <t>SAD</t>
        </is>
      </c>
      <c r="H92" s="24" t="n">
        <v>131</v>
      </c>
      <c r="I92" s="25">
        <f>131/643</f>
        <v/>
      </c>
      <c r="J92" s="26" t="inlineStr">
        <is>
          <t>INC</t>
        </is>
      </c>
      <c r="K92" s="24" t="n">
        <v>-148</v>
      </c>
      <c r="L92" s="27">
        <f>I92-F92</f>
        <v/>
      </c>
      <c r="M92" s="24" t="n">
        <v>98</v>
      </c>
      <c r="N92" s="24" t="n">
        <v>643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35" t="inlineStr">
        <is>
          <t>Gained in 2024 (New Win)</t>
        </is>
      </c>
      <c r="E93" s="31" t="n">
        <v>191</v>
      </c>
      <c r="F93" s="32">
        <f>191/574</f>
        <v/>
      </c>
      <c r="G93" s="33" t="inlineStr">
        <is>
          <t>SAD</t>
        </is>
      </c>
      <c r="H93" s="31" t="n">
        <v>170</v>
      </c>
      <c r="I93" s="32">
        <f>170/450</f>
        <v/>
      </c>
      <c r="J93" s="33" t="inlineStr">
        <is>
          <t>AAP</t>
        </is>
      </c>
      <c r="K93" s="31" t="n">
        <v>-21</v>
      </c>
      <c r="L93" s="34">
        <f>I93-F93</f>
        <v/>
      </c>
      <c r="M93" s="31" t="n">
        <v>22</v>
      </c>
      <c r="N93" s="31" t="n">
        <v>450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23" t="inlineStr">
        <is>
          <t>Won Both Times (Stronghold)</t>
        </is>
      </c>
      <c r="E94" s="24" t="n">
        <v>231</v>
      </c>
      <c r="F94" s="25">
        <f>231/663</f>
        <v/>
      </c>
      <c r="G94" s="26" t="inlineStr">
        <is>
          <t>AAP</t>
        </is>
      </c>
      <c r="H94" s="24" t="n">
        <v>213</v>
      </c>
      <c r="I94" s="25">
        <f>213/514</f>
        <v/>
      </c>
      <c r="J94" s="26" t="inlineStr">
        <is>
          <t>AAP</t>
        </is>
      </c>
      <c r="K94" s="24" t="n">
        <v>-18</v>
      </c>
      <c r="L94" s="27">
        <f>I94-F94</f>
        <v/>
      </c>
      <c r="M94" s="24" t="n">
        <v>74</v>
      </c>
      <c r="N94" s="24" t="n">
        <v>514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35" t="inlineStr">
        <is>
          <t>Gained in 2024 (New Win)</t>
        </is>
      </c>
      <c r="E95" s="31" t="n">
        <v>222</v>
      </c>
      <c r="F95" s="32">
        <f>222/760</f>
        <v/>
      </c>
      <c r="G95" s="33" t="inlineStr">
        <is>
          <t>SAD</t>
        </is>
      </c>
      <c r="H95" s="31" t="n">
        <v>249</v>
      </c>
      <c r="I95" s="32">
        <f>249/661</f>
        <v/>
      </c>
      <c r="J95" s="33" t="inlineStr">
        <is>
          <t>AAP</t>
        </is>
      </c>
      <c r="K95" s="31" t="n">
        <v>27</v>
      </c>
      <c r="L95" s="34">
        <f>I95-F95</f>
        <v/>
      </c>
      <c r="M95" s="31" t="n">
        <v>92</v>
      </c>
      <c r="N95" s="31" t="n">
        <v>661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37" t="inlineStr">
        <is>
          <t>Lost in 2024 (to INC)</t>
        </is>
      </c>
      <c r="E96" s="24" t="n">
        <v>285</v>
      </c>
      <c r="F96" s="25">
        <f>285/666</f>
        <v/>
      </c>
      <c r="G96" s="26" t="inlineStr">
        <is>
          <t>AAP</t>
        </is>
      </c>
      <c r="H96" s="24" t="n">
        <v>110</v>
      </c>
      <c r="I96" s="25">
        <f>110/577</f>
        <v/>
      </c>
      <c r="J96" s="26" t="inlineStr">
        <is>
          <t>INC</t>
        </is>
      </c>
      <c r="K96" s="24" t="n">
        <v>-175</v>
      </c>
      <c r="L96" s="27">
        <f>I96-F96</f>
        <v/>
      </c>
      <c r="M96" s="24" t="n">
        <v>154</v>
      </c>
      <c r="N96" s="24" t="n">
        <v>577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35" t="inlineStr">
        <is>
          <t>Gained in 2024 (New Win)</t>
        </is>
      </c>
      <c r="E97" s="31" t="n">
        <v>135</v>
      </c>
      <c r="F97" s="32">
        <f>135/472</f>
        <v/>
      </c>
      <c r="G97" s="33" t="inlineStr">
        <is>
          <t>SAD</t>
        </is>
      </c>
      <c r="H97" s="31" t="n">
        <v>151</v>
      </c>
      <c r="I97" s="32">
        <f>151/400</f>
        <v/>
      </c>
      <c r="J97" s="33" t="inlineStr">
        <is>
          <t>AAP</t>
        </is>
      </c>
      <c r="K97" s="31" t="n">
        <v>16</v>
      </c>
      <c r="L97" s="34">
        <f>I97-F97</f>
        <v/>
      </c>
      <c r="M97" s="31" t="n">
        <v>39</v>
      </c>
      <c r="N97" s="31" t="n">
        <v>400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30" t="inlineStr">
        <is>
          <t>Lost Both Times (Deficit)</t>
        </is>
      </c>
      <c r="E98" s="24" t="n">
        <v>174</v>
      </c>
      <c r="F98" s="25">
        <f>174/740</f>
        <v/>
      </c>
      <c r="G98" s="26" t="inlineStr">
        <is>
          <t>SAD</t>
        </is>
      </c>
      <c r="H98" s="24" t="n">
        <v>200</v>
      </c>
      <c r="I98" s="25">
        <f>200/664</f>
        <v/>
      </c>
      <c r="J98" s="26" t="inlineStr">
        <is>
          <t>SAD</t>
        </is>
      </c>
      <c r="K98" s="24" t="n">
        <v>26</v>
      </c>
      <c r="L98" s="27">
        <f>I98-F98</f>
        <v/>
      </c>
      <c r="M98" s="24" t="n">
        <v>7</v>
      </c>
      <c r="N98" s="24" t="n">
        <v>664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30" t="inlineStr">
        <is>
          <t>Lost Both Times (Deficit)</t>
        </is>
      </c>
      <c r="E99" s="31" t="n">
        <v>110</v>
      </c>
      <c r="F99" s="32">
        <f>110/467</f>
        <v/>
      </c>
      <c r="G99" s="33" t="inlineStr">
        <is>
          <t>SAD</t>
        </is>
      </c>
      <c r="H99" s="31" t="n">
        <v>127</v>
      </c>
      <c r="I99" s="32">
        <f>127/399</f>
        <v/>
      </c>
      <c r="J99" s="33" t="inlineStr">
        <is>
          <t>SAD</t>
        </is>
      </c>
      <c r="K99" s="31" t="n">
        <v>17</v>
      </c>
      <c r="L99" s="34">
        <f>I99-F99</f>
        <v/>
      </c>
      <c r="M99" s="31" t="n">
        <v>54</v>
      </c>
      <c r="N99" s="31" t="n">
        <v>399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30" t="inlineStr">
        <is>
          <t>Lost Both Times (Deficit)</t>
        </is>
      </c>
      <c r="E100" s="24" t="n">
        <v>81</v>
      </c>
      <c r="F100" s="25">
        <f>81/429</f>
        <v/>
      </c>
      <c r="G100" s="26" t="inlineStr">
        <is>
          <t>INC</t>
        </is>
      </c>
      <c r="H100" s="24" t="n">
        <v>131</v>
      </c>
      <c r="I100" s="25">
        <f>131/364</f>
        <v/>
      </c>
      <c r="J100" s="26" t="inlineStr">
        <is>
          <t>INC</t>
        </is>
      </c>
      <c r="K100" s="24" t="n">
        <v>50</v>
      </c>
      <c r="L100" s="27">
        <f>I100-F100</f>
        <v/>
      </c>
      <c r="M100" s="24" t="n">
        <v>39</v>
      </c>
      <c r="N100" s="24" t="n">
        <v>364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30" t="inlineStr">
        <is>
          <t>Lost Both Times (Deficit)</t>
        </is>
      </c>
      <c r="E101" s="31" t="n">
        <v>179</v>
      </c>
      <c r="F101" s="32">
        <f>179/723</f>
        <v/>
      </c>
      <c r="G101" s="33" t="inlineStr">
        <is>
          <t>SAD</t>
        </is>
      </c>
      <c r="H101" s="31" t="n">
        <v>131</v>
      </c>
      <c r="I101" s="32">
        <f>131/632</f>
        <v/>
      </c>
      <c r="J101" s="33" t="inlineStr">
        <is>
          <t>INC</t>
        </is>
      </c>
      <c r="K101" s="31" t="n">
        <v>-48</v>
      </c>
      <c r="L101" s="34">
        <f>I101-F101</f>
        <v/>
      </c>
      <c r="M101" s="31" t="n">
        <v>58</v>
      </c>
      <c r="N101" s="31" t="n">
        <v>632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37" t="inlineStr">
        <is>
          <t>Lost in 2024 (to INC)</t>
        </is>
      </c>
      <c r="E102" s="24" t="n">
        <v>250</v>
      </c>
      <c r="F102" s="25">
        <f>250/648</f>
        <v/>
      </c>
      <c r="G102" s="26" t="inlineStr">
        <is>
          <t>AAP</t>
        </is>
      </c>
      <c r="H102" s="24" t="n">
        <v>155</v>
      </c>
      <c r="I102" s="25">
        <f>155/541</f>
        <v/>
      </c>
      <c r="J102" s="26" t="inlineStr">
        <is>
          <t>INC</t>
        </is>
      </c>
      <c r="K102" s="24" t="n">
        <v>-95</v>
      </c>
      <c r="L102" s="27">
        <f>I102-F102</f>
        <v/>
      </c>
      <c r="M102" s="24" t="n">
        <v>44</v>
      </c>
      <c r="N102" s="24" t="n">
        <v>541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35" t="inlineStr">
        <is>
          <t>Gained in 2024 (New Win)</t>
        </is>
      </c>
      <c r="E103" s="31" t="n">
        <v>126</v>
      </c>
      <c r="F103" s="32">
        <f>126/537</f>
        <v/>
      </c>
      <c r="G103" s="33" t="inlineStr">
        <is>
          <t>INC</t>
        </is>
      </c>
      <c r="H103" s="31" t="n">
        <v>164</v>
      </c>
      <c r="I103" s="32">
        <f>164/414</f>
        <v/>
      </c>
      <c r="J103" s="33" t="inlineStr">
        <is>
          <t>AAP</t>
        </is>
      </c>
      <c r="K103" s="31" t="n">
        <v>38</v>
      </c>
      <c r="L103" s="34">
        <f>I103-F103</f>
        <v/>
      </c>
      <c r="M103" s="31" t="n">
        <v>74</v>
      </c>
      <c r="N103" s="31" t="n">
        <v>414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30" t="inlineStr">
        <is>
          <t>Lost Both Times (Deficit)</t>
        </is>
      </c>
      <c r="E104" s="24" t="n">
        <v>86</v>
      </c>
      <c r="F104" s="25">
        <f>86/386</f>
        <v/>
      </c>
      <c r="G104" s="26" t="inlineStr">
        <is>
          <t>INC</t>
        </is>
      </c>
      <c r="H104" s="24" t="n">
        <v>94</v>
      </c>
      <c r="I104" s="25">
        <f>94/344</f>
        <v/>
      </c>
      <c r="J104" s="26" t="inlineStr">
        <is>
          <t>SAD</t>
        </is>
      </c>
      <c r="K104" s="24" t="n">
        <v>8</v>
      </c>
      <c r="L104" s="27">
        <f>I104-F104</f>
        <v/>
      </c>
      <c r="M104" s="24" t="n">
        <v>21</v>
      </c>
      <c r="N104" s="24" t="n">
        <v>344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30" t="inlineStr">
        <is>
          <t>Lost Both Times (Deficit)</t>
        </is>
      </c>
      <c r="E105" s="31" t="n">
        <v>126</v>
      </c>
      <c r="F105" s="32">
        <f>126/815</f>
        <v/>
      </c>
      <c r="G105" s="33" t="inlineStr">
        <is>
          <t>INC</t>
        </is>
      </c>
      <c r="H105" s="31" t="n">
        <v>152</v>
      </c>
      <c r="I105" s="32">
        <f>152/613</f>
        <v/>
      </c>
      <c r="J105" s="33" t="inlineStr">
        <is>
          <t>INC</t>
        </is>
      </c>
      <c r="K105" s="31" t="n">
        <v>26</v>
      </c>
      <c r="L105" s="34">
        <f>I105-F105</f>
        <v/>
      </c>
      <c r="M105" s="31" t="n">
        <v>12</v>
      </c>
      <c r="N105" s="31" t="n">
        <v>613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35" t="inlineStr">
        <is>
          <t>Gained in 2024 (New Win)</t>
        </is>
      </c>
      <c r="E106" s="24" t="n">
        <v>119</v>
      </c>
      <c r="F106" s="25">
        <f>119/567</f>
        <v/>
      </c>
      <c r="G106" s="26" t="inlineStr">
        <is>
          <t>INC</t>
        </is>
      </c>
      <c r="H106" s="24" t="n">
        <v>138</v>
      </c>
      <c r="I106" s="25">
        <f>138/446</f>
        <v/>
      </c>
      <c r="J106" s="26" t="inlineStr">
        <is>
          <t>AAP</t>
        </is>
      </c>
      <c r="K106" s="24" t="n">
        <v>19</v>
      </c>
      <c r="L106" s="27">
        <f>I106-F106</f>
        <v/>
      </c>
      <c r="M106" s="24" t="n">
        <v>26</v>
      </c>
      <c r="N106" s="24" t="n">
        <v>446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36" t="inlineStr">
        <is>
          <t>Weak Booth (&lt; 20% Share)</t>
        </is>
      </c>
      <c r="E107" s="31" t="n">
        <v>222</v>
      </c>
      <c r="F107" s="32">
        <f>222/774</f>
        <v/>
      </c>
      <c r="G107" s="33" t="inlineStr">
        <is>
          <t>SAD</t>
        </is>
      </c>
      <c r="H107" s="31" t="n">
        <v>70</v>
      </c>
      <c r="I107" s="32">
        <f>70/666</f>
        <v/>
      </c>
      <c r="J107" s="33" t="inlineStr">
        <is>
          <t>SAD</t>
        </is>
      </c>
      <c r="K107" s="31" t="n">
        <v>-152</v>
      </c>
      <c r="L107" s="34">
        <f>I107-F107</f>
        <v/>
      </c>
      <c r="M107" s="31" t="n">
        <v>136</v>
      </c>
      <c r="N107" s="31" t="n">
        <v>666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36" t="inlineStr">
        <is>
          <t>Weak Booth (&lt; 20% Share)</t>
        </is>
      </c>
      <c r="E108" s="24" t="n">
        <v>214</v>
      </c>
      <c r="F108" s="25">
        <f>214/723</f>
        <v/>
      </c>
      <c r="G108" s="26" t="inlineStr">
        <is>
          <t>SAD</t>
        </is>
      </c>
      <c r="H108" s="24" t="n">
        <v>111</v>
      </c>
      <c r="I108" s="25">
        <f>111/602</f>
        <v/>
      </c>
      <c r="J108" s="26" t="inlineStr">
        <is>
          <t>SAD</t>
        </is>
      </c>
      <c r="K108" s="24" t="n">
        <v>-103</v>
      </c>
      <c r="L108" s="27">
        <f>I108-F108</f>
        <v/>
      </c>
      <c r="M108" s="24" t="n">
        <v>91</v>
      </c>
      <c r="N108" s="24" t="n">
        <v>602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36" t="inlineStr">
        <is>
          <t>Weak Booth (&lt; 20% Share)</t>
        </is>
      </c>
      <c r="E109" s="31" t="n">
        <v>203</v>
      </c>
      <c r="F109" s="32">
        <f>203/757</f>
        <v/>
      </c>
      <c r="G109" s="33" t="inlineStr">
        <is>
          <t>SAD</t>
        </is>
      </c>
      <c r="H109" s="31" t="n">
        <v>65</v>
      </c>
      <c r="I109" s="32">
        <f>65/625</f>
        <v/>
      </c>
      <c r="J109" s="33" t="inlineStr">
        <is>
          <t>SAD</t>
        </is>
      </c>
      <c r="K109" s="31" t="n">
        <v>-138</v>
      </c>
      <c r="L109" s="34">
        <f>I109-F109</f>
        <v/>
      </c>
      <c r="M109" s="31" t="n">
        <v>52</v>
      </c>
      <c r="N109" s="31" t="n">
        <v>625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36" t="inlineStr">
        <is>
          <t>Weak Booth (&lt; 20% Share)</t>
        </is>
      </c>
      <c r="E110" s="24" t="n">
        <v>154</v>
      </c>
      <c r="F110" s="25">
        <f>154/439</f>
        <v/>
      </c>
      <c r="G110" s="26" t="inlineStr">
        <is>
          <t>SAD</t>
        </is>
      </c>
      <c r="H110" s="24" t="n">
        <v>64</v>
      </c>
      <c r="I110" s="25">
        <f>64/404</f>
        <v/>
      </c>
      <c r="J110" s="26" t="inlineStr">
        <is>
          <t>SAD</t>
        </is>
      </c>
      <c r="K110" s="24" t="n">
        <v>-90</v>
      </c>
      <c r="L110" s="27">
        <f>I110-F110</f>
        <v/>
      </c>
      <c r="M110" s="24" t="n">
        <v>78</v>
      </c>
      <c r="N110" s="24" t="n">
        <v>404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36" t="inlineStr">
        <is>
          <t>Weak Booth (&lt; 20% Share)</t>
        </is>
      </c>
      <c r="E111" s="31" t="n">
        <v>49</v>
      </c>
      <c r="F111" s="32">
        <f>49/566</f>
        <v/>
      </c>
      <c r="G111" s="33" t="inlineStr">
        <is>
          <t>SAD</t>
        </is>
      </c>
      <c r="H111" s="31" t="n">
        <v>17</v>
      </c>
      <c r="I111" s="32">
        <f>17/473</f>
        <v/>
      </c>
      <c r="J111" s="33" t="inlineStr">
        <is>
          <t>SAD</t>
        </is>
      </c>
      <c r="K111" s="31" t="n">
        <v>-32</v>
      </c>
      <c r="L111" s="34">
        <f>I111-F111</f>
        <v/>
      </c>
      <c r="M111" s="31" t="n">
        <v>57</v>
      </c>
      <c r="N111" s="31" t="n">
        <v>473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36" t="inlineStr">
        <is>
          <t>Weak Booth (&lt; 20% Share)</t>
        </is>
      </c>
      <c r="E112" s="24" t="n">
        <v>212</v>
      </c>
      <c r="F112" s="25">
        <f>212/775</f>
        <v/>
      </c>
      <c r="G112" s="26" t="inlineStr">
        <is>
          <t>SAD</t>
        </is>
      </c>
      <c r="H112" s="24" t="n">
        <v>62</v>
      </c>
      <c r="I112" s="25">
        <f>62/655</f>
        <v/>
      </c>
      <c r="J112" s="26" t="inlineStr">
        <is>
          <t>SAD</t>
        </is>
      </c>
      <c r="K112" s="24" t="n">
        <v>-150</v>
      </c>
      <c r="L112" s="27">
        <f>I112-F112</f>
        <v/>
      </c>
      <c r="M112" s="24" t="n">
        <v>112</v>
      </c>
      <c r="N112" s="24" t="n">
        <v>655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36" t="inlineStr">
        <is>
          <t>Weak Booth (&lt; 20% Share)</t>
        </is>
      </c>
      <c r="E113" s="31" t="n">
        <v>208</v>
      </c>
      <c r="F113" s="32">
        <f>208/671</f>
        <v/>
      </c>
      <c r="G113" s="33" t="inlineStr">
        <is>
          <t>INC</t>
        </is>
      </c>
      <c r="H113" s="31" t="n">
        <v>65</v>
      </c>
      <c r="I113" s="32">
        <f>65/553</f>
        <v/>
      </c>
      <c r="J113" s="33" t="inlineStr">
        <is>
          <t>INC</t>
        </is>
      </c>
      <c r="K113" s="31" t="n">
        <v>-143</v>
      </c>
      <c r="L113" s="34">
        <f>I113-F113</f>
        <v/>
      </c>
      <c r="M113" s="31" t="n">
        <v>126</v>
      </c>
      <c r="N113" s="31" t="n">
        <v>553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37" t="inlineStr">
        <is>
          <t>Lost in 2024 (to SAD)</t>
        </is>
      </c>
      <c r="E114" s="24" t="n">
        <v>240</v>
      </c>
      <c r="F114" s="25">
        <f>240/693</f>
        <v/>
      </c>
      <c r="G114" s="26" t="inlineStr">
        <is>
          <t>AAP</t>
        </is>
      </c>
      <c r="H114" s="24" t="n">
        <v>116</v>
      </c>
      <c r="I114" s="25">
        <f>116/563</f>
        <v/>
      </c>
      <c r="J114" s="26" t="inlineStr">
        <is>
          <t>SAD</t>
        </is>
      </c>
      <c r="K114" s="24" t="n">
        <v>-124</v>
      </c>
      <c r="L114" s="27">
        <f>I114-F114</f>
        <v/>
      </c>
      <c r="M114" s="24" t="n">
        <v>27</v>
      </c>
      <c r="N114" s="24" t="n">
        <v>563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37" t="inlineStr">
        <is>
          <t>Lost in 2024 (to SAD)</t>
        </is>
      </c>
      <c r="E115" s="31" t="n">
        <v>265</v>
      </c>
      <c r="F115" s="32">
        <f>265/672</f>
        <v/>
      </c>
      <c r="G115" s="33" t="inlineStr">
        <is>
          <t>AAP</t>
        </is>
      </c>
      <c r="H115" s="31" t="n">
        <v>141</v>
      </c>
      <c r="I115" s="32">
        <f>141/520</f>
        <v/>
      </c>
      <c r="J115" s="33" t="inlineStr">
        <is>
          <t>SAD</t>
        </is>
      </c>
      <c r="K115" s="31" t="n">
        <v>-124</v>
      </c>
      <c r="L115" s="34">
        <f>I115-F115</f>
        <v/>
      </c>
      <c r="M115" s="31" t="n">
        <v>20</v>
      </c>
      <c r="N115" s="31" t="n">
        <v>520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36" t="inlineStr">
        <is>
          <t>Weak Booth (&lt; 20% Share)</t>
        </is>
      </c>
      <c r="E116" s="24" t="n">
        <v>88</v>
      </c>
      <c r="F116" s="25">
        <f>88/494</f>
        <v/>
      </c>
      <c r="G116" s="26" t="inlineStr">
        <is>
          <t>SAD</t>
        </is>
      </c>
      <c r="H116" s="24" t="n">
        <v>37</v>
      </c>
      <c r="I116" s="25">
        <f>37/407</f>
        <v/>
      </c>
      <c r="J116" s="26" t="inlineStr">
        <is>
          <t>INC</t>
        </is>
      </c>
      <c r="K116" s="24" t="n">
        <v>-51</v>
      </c>
      <c r="L116" s="27">
        <f>I116-F116</f>
        <v/>
      </c>
      <c r="M116" s="24" t="n">
        <v>27</v>
      </c>
      <c r="N116" s="24" t="n">
        <v>407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36" t="inlineStr">
        <is>
          <t>Weak Booth (&lt; 20% Share)</t>
        </is>
      </c>
      <c r="E117" s="31" t="n">
        <v>84</v>
      </c>
      <c r="F117" s="32">
        <f>84/451</f>
        <v/>
      </c>
      <c r="G117" s="33" t="inlineStr">
        <is>
          <t>INC</t>
        </is>
      </c>
      <c r="H117" s="31" t="n">
        <v>34</v>
      </c>
      <c r="I117" s="32">
        <f>34/367</f>
        <v/>
      </c>
      <c r="J117" s="33" t="inlineStr">
        <is>
          <t>INC</t>
        </is>
      </c>
      <c r="K117" s="31" t="n">
        <v>-50</v>
      </c>
      <c r="L117" s="34">
        <f>I117-F117</f>
        <v/>
      </c>
      <c r="M117" s="31" t="n">
        <v>114</v>
      </c>
      <c r="N117" s="31" t="n">
        <v>367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36" t="inlineStr">
        <is>
          <t>Weak Booth (&lt; 20% Share)</t>
        </is>
      </c>
      <c r="E118" s="24" t="n">
        <v>62</v>
      </c>
      <c r="F118" s="25">
        <f>62/510</f>
        <v/>
      </c>
      <c r="G118" s="26" t="inlineStr">
        <is>
          <t>SAD</t>
        </is>
      </c>
      <c r="H118" s="24" t="n">
        <v>57</v>
      </c>
      <c r="I118" s="25">
        <f>57/439</f>
        <v/>
      </c>
      <c r="J118" s="26" t="inlineStr">
        <is>
          <t>SAD</t>
        </is>
      </c>
      <c r="K118" s="24" t="n">
        <v>-5</v>
      </c>
      <c r="L118" s="27">
        <f>I118-F118</f>
        <v/>
      </c>
      <c r="M118" s="24" t="n">
        <v>80</v>
      </c>
      <c r="N118" s="24" t="n">
        <v>439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36" t="inlineStr">
        <is>
          <t>Weak Booth (&lt; 20% Share)</t>
        </is>
      </c>
      <c r="E119" s="31" t="n">
        <v>227</v>
      </c>
      <c r="F119" s="32">
        <f>227/740</f>
        <v/>
      </c>
      <c r="G119" s="33" t="inlineStr">
        <is>
          <t>INC</t>
        </is>
      </c>
      <c r="H119" s="31" t="n">
        <v>123</v>
      </c>
      <c r="I119" s="32">
        <f>123/669</f>
        <v/>
      </c>
      <c r="J119" s="33" t="inlineStr">
        <is>
          <t>INC</t>
        </is>
      </c>
      <c r="K119" s="31" t="n">
        <v>-104</v>
      </c>
      <c r="L119" s="34">
        <f>I119-F119</f>
        <v/>
      </c>
      <c r="M119" s="31" t="n">
        <v>84</v>
      </c>
      <c r="N119" s="31" t="n">
        <v>669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30" t="inlineStr">
        <is>
          <t>Lost Both Times (Deficit)</t>
        </is>
      </c>
      <c r="E120" s="24" t="n">
        <v>149</v>
      </c>
      <c r="F120" s="25">
        <f>149/931</f>
        <v/>
      </c>
      <c r="G120" s="26" t="inlineStr">
        <is>
          <t>SAD</t>
        </is>
      </c>
      <c r="H120" s="24" t="n">
        <v>223</v>
      </c>
      <c r="I120" s="25">
        <f>223/801</f>
        <v/>
      </c>
      <c r="J120" s="26" t="inlineStr">
        <is>
          <t>INC</t>
        </is>
      </c>
      <c r="K120" s="24" t="n">
        <v>74</v>
      </c>
      <c r="L120" s="27">
        <f>I120-F120</f>
        <v/>
      </c>
      <c r="M120" s="24" t="n">
        <v>84</v>
      </c>
      <c r="N120" s="24" t="n">
        <v>801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30" t="inlineStr">
        <is>
          <t>Lost Both Times (Deficit)</t>
        </is>
      </c>
      <c r="E121" s="31" t="n">
        <v>211</v>
      </c>
      <c r="F121" s="32">
        <f>211/779</f>
        <v/>
      </c>
      <c r="G121" s="33" t="inlineStr">
        <is>
          <t>INC</t>
        </is>
      </c>
      <c r="H121" s="31" t="n">
        <v>154</v>
      </c>
      <c r="I121" s="32">
        <f>154/625</f>
        <v/>
      </c>
      <c r="J121" s="33" t="inlineStr">
        <is>
          <t>SAD</t>
        </is>
      </c>
      <c r="K121" s="31" t="n">
        <v>-57</v>
      </c>
      <c r="L121" s="34">
        <f>I121-F121</f>
        <v/>
      </c>
      <c r="M121" s="31" t="n">
        <v>54</v>
      </c>
      <c r="N121" s="31" t="n">
        <v>625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36" t="inlineStr">
        <is>
          <t>Weak Booth (&lt; 20% Share)</t>
        </is>
      </c>
      <c r="E122" s="24" t="n">
        <v>23</v>
      </c>
      <c r="F122" s="25">
        <f>23/279</f>
        <v/>
      </c>
      <c r="G122" s="26" t="inlineStr">
        <is>
          <t>INC</t>
        </is>
      </c>
      <c r="H122" s="24" t="n">
        <v>22</v>
      </c>
      <c r="I122" s="25">
        <f>22/264</f>
        <v/>
      </c>
      <c r="J122" s="26" t="inlineStr">
        <is>
          <t>INC</t>
        </is>
      </c>
      <c r="K122" s="24" t="n">
        <v>-1</v>
      </c>
      <c r="L122" s="27">
        <f>I122-F122</f>
        <v/>
      </c>
      <c r="M122" s="24" t="n">
        <v>65</v>
      </c>
      <c r="N122" s="24" t="n">
        <v>264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35" t="inlineStr">
        <is>
          <t>Gained in 2024 (New Win)</t>
        </is>
      </c>
      <c r="E123" s="31" t="n">
        <v>182</v>
      </c>
      <c r="F123" s="32">
        <f>182/744</f>
        <v/>
      </c>
      <c r="G123" s="33" t="inlineStr">
        <is>
          <t>SAD</t>
        </is>
      </c>
      <c r="H123" s="31" t="n">
        <v>255</v>
      </c>
      <c r="I123" s="32">
        <f>255/668</f>
        <v/>
      </c>
      <c r="J123" s="33" t="inlineStr">
        <is>
          <t>AAP</t>
        </is>
      </c>
      <c r="K123" s="31" t="n">
        <v>73</v>
      </c>
      <c r="L123" s="34">
        <f>I123-F123</f>
        <v/>
      </c>
      <c r="M123" s="31" t="n">
        <v>64</v>
      </c>
      <c r="N123" s="31" t="n">
        <v>668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37" t="inlineStr">
        <is>
          <t>Lost in 2024 (to INC)</t>
        </is>
      </c>
      <c r="E124" s="24" t="n">
        <v>338</v>
      </c>
      <c r="F124" s="25">
        <f>338/833</f>
        <v/>
      </c>
      <c r="G124" s="26" t="inlineStr">
        <is>
          <t>AAP</t>
        </is>
      </c>
      <c r="H124" s="24" t="n">
        <v>148</v>
      </c>
      <c r="I124" s="25">
        <f>148/678</f>
        <v/>
      </c>
      <c r="J124" s="26" t="inlineStr">
        <is>
          <t>INC</t>
        </is>
      </c>
      <c r="K124" s="24" t="n">
        <v>-190</v>
      </c>
      <c r="L124" s="27">
        <f>I124-F124</f>
        <v/>
      </c>
      <c r="M124" s="24" t="n">
        <v>18</v>
      </c>
      <c r="N124" s="24" t="n">
        <v>678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37" t="inlineStr">
        <is>
          <t>Lost in 2024 (to INC)</t>
        </is>
      </c>
      <c r="E125" s="31" t="n">
        <v>230</v>
      </c>
      <c r="F125" s="32">
        <f>230/706</f>
        <v/>
      </c>
      <c r="G125" s="33" t="inlineStr">
        <is>
          <t>AAP</t>
        </is>
      </c>
      <c r="H125" s="31" t="n">
        <v>115</v>
      </c>
      <c r="I125" s="32">
        <f>115/569</f>
        <v/>
      </c>
      <c r="J125" s="33" t="inlineStr">
        <is>
          <t>INC</t>
        </is>
      </c>
      <c r="K125" s="31" t="n">
        <v>-115</v>
      </c>
      <c r="L125" s="34">
        <f>I125-F125</f>
        <v/>
      </c>
      <c r="M125" s="31" t="n">
        <v>4</v>
      </c>
      <c r="N125" s="31" t="n">
        <v>569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36" t="inlineStr">
        <is>
          <t>Weak Booth (&lt; 20% Share)</t>
        </is>
      </c>
      <c r="E126" s="24" t="n">
        <v>238</v>
      </c>
      <c r="F126" s="25">
        <f>238/712</f>
        <v/>
      </c>
      <c r="G126" s="26" t="inlineStr">
        <is>
          <t>SAD</t>
        </is>
      </c>
      <c r="H126" s="24" t="n">
        <v>106</v>
      </c>
      <c r="I126" s="25">
        <f>106/587</f>
        <v/>
      </c>
      <c r="J126" s="26" t="inlineStr">
        <is>
          <t>INC</t>
        </is>
      </c>
      <c r="K126" s="24" t="n">
        <v>-132</v>
      </c>
      <c r="L126" s="27">
        <f>I126-F126</f>
        <v/>
      </c>
      <c r="M126" s="24" t="n">
        <v>68</v>
      </c>
      <c r="N126" s="24" t="n">
        <v>587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30" t="inlineStr">
        <is>
          <t>Lost Both Times (Deficit)</t>
        </is>
      </c>
      <c r="E127" s="31" t="n">
        <v>95</v>
      </c>
      <c r="F127" s="32">
        <f>95/379</f>
        <v/>
      </c>
      <c r="G127" s="33" t="inlineStr">
        <is>
          <t>INC</t>
        </is>
      </c>
      <c r="H127" s="31" t="n">
        <v>116</v>
      </c>
      <c r="I127" s="32">
        <f>116/331</f>
        <v/>
      </c>
      <c r="J127" s="33" t="inlineStr">
        <is>
          <t>INC</t>
        </is>
      </c>
      <c r="K127" s="31" t="n">
        <v>21</v>
      </c>
      <c r="L127" s="34">
        <f>I127-F127</f>
        <v/>
      </c>
      <c r="M127" s="31" t="n">
        <v>39</v>
      </c>
      <c r="N127" s="31" t="n">
        <v>331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37" t="inlineStr">
        <is>
          <t>Lost in 2024 (to INC)</t>
        </is>
      </c>
      <c r="E128" s="24" t="n">
        <v>198</v>
      </c>
      <c r="F128" s="25">
        <f>198/574</f>
        <v/>
      </c>
      <c r="G128" s="26" t="inlineStr">
        <is>
          <t>AAP</t>
        </is>
      </c>
      <c r="H128" s="24" t="n">
        <v>137</v>
      </c>
      <c r="I128" s="25">
        <f>137/465</f>
        <v/>
      </c>
      <c r="J128" s="26" t="inlineStr">
        <is>
          <t>INC</t>
        </is>
      </c>
      <c r="K128" s="24" t="n">
        <v>-61</v>
      </c>
      <c r="L128" s="27">
        <f>I128-F128</f>
        <v/>
      </c>
      <c r="M128" s="24" t="n">
        <v>72</v>
      </c>
      <c r="N128" s="24" t="n">
        <v>465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23" t="inlineStr">
        <is>
          <t>Won Both Times (Stronghold)</t>
        </is>
      </c>
      <c r="E129" s="31" t="n">
        <v>199</v>
      </c>
      <c r="F129" s="32">
        <f>199/515</f>
        <v/>
      </c>
      <c r="G129" s="33" t="inlineStr">
        <is>
          <t>AAP</t>
        </is>
      </c>
      <c r="H129" s="31" t="n">
        <v>177</v>
      </c>
      <c r="I129" s="32">
        <f>177/402</f>
        <v/>
      </c>
      <c r="J129" s="33" t="inlineStr">
        <is>
          <t>AAP</t>
        </is>
      </c>
      <c r="K129" s="31" t="n">
        <v>-22</v>
      </c>
      <c r="L129" s="34">
        <f>I129-F129</f>
        <v/>
      </c>
      <c r="M129" s="31" t="n">
        <v>70</v>
      </c>
      <c r="N129" s="31" t="n">
        <v>402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30" t="inlineStr">
        <is>
          <t>Lost Both Times (Deficit)</t>
        </is>
      </c>
      <c r="E130" s="24" t="n">
        <v>119</v>
      </c>
      <c r="F130" s="25">
        <f>119/554</f>
        <v/>
      </c>
      <c r="G130" s="26" t="inlineStr">
        <is>
          <t>INC</t>
        </is>
      </c>
      <c r="H130" s="24" t="n">
        <v>151</v>
      </c>
      <c r="I130" s="25">
        <f>151/486</f>
        <v/>
      </c>
      <c r="J130" s="26" t="inlineStr">
        <is>
          <t>INC</t>
        </is>
      </c>
      <c r="K130" s="24" t="n">
        <v>32</v>
      </c>
      <c r="L130" s="27">
        <f>I130-F130</f>
        <v/>
      </c>
      <c r="M130" s="24" t="n">
        <v>21</v>
      </c>
      <c r="N130" s="24" t="n">
        <v>486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37" t="inlineStr">
        <is>
          <t>Lost in 2024 (to INC)</t>
        </is>
      </c>
      <c r="E131" s="31" t="n">
        <v>174</v>
      </c>
      <c r="F131" s="32">
        <f>174/490</f>
        <v/>
      </c>
      <c r="G131" s="33" t="inlineStr">
        <is>
          <t>AAP</t>
        </is>
      </c>
      <c r="H131" s="31" t="n">
        <v>105</v>
      </c>
      <c r="I131" s="32">
        <f>105/383</f>
        <v/>
      </c>
      <c r="J131" s="33" t="inlineStr">
        <is>
          <t>INC</t>
        </is>
      </c>
      <c r="K131" s="31" t="n">
        <v>-69</v>
      </c>
      <c r="L131" s="34">
        <f>I131-F131</f>
        <v/>
      </c>
      <c r="M131" s="31" t="n">
        <v>15</v>
      </c>
      <c r="N131" s="31" t="n">
        <v>383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35" t="inlineStr">
        <is>
          <t>Gained in 2024 (New Win)</t>
        </is>
      </c>
      <c r="E132" s="24" t="n">
        <v>139</v>
      </c>
      <c r="F132" s="25">
        <f>139/580</f>
        <v/>
      </c>
      <c r="G132" s="26" t="inlineStr">
        <is>
          <t>SAD</t>
        </is>
      </c>
      <c r="H132" s="24" t="n">
        <v>165</v>
      </c>
      <c r="I132" s="25">
        <f>165/526</f>
        <v/>
      </c>
      <c r="J132" s="26" t="inlineStr">
        <is>
          <t>AAP</t>
        </is>
      </c>
      <c r="K132" s="24" t="n">
        <v>26</v>
      </c>
      <c r="L132" s="27">
        <f>I132-F132</f>
        <v/>
      </c>
      <c r="M132" s="24" t="n">
        <v>2</v>
      </c>
      <c r="N132" s="24" t="n">
        <v>526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37" t="inlineStr">
        <is>
          <t>Lost in 2024 (to BJP)</t>
        </is>
      </c>
      <c r="E133" s="31" t="n">
        <v>239</v>
      </c>
      <c r="F133" s="32">
        <f>239/634</f>
        <v/>
      </c>
      <c r="G133" s="33" t="inlineStr">
        <is>
          <t>AAP</t>
        </is>
      </c>
      <c r="H133" s="31" t="n">
        <v>84</v>
      </c>
      <c r="I133" s="32">
        <f>84/499</f>
        <v/>
      </c>
      <c r="J133" s="33" t="inlineStr">
        <is>
          <t>BJP</t>
        </is>
      </c>
      <c r="K133" s="31" t="n">
        <v>-155</v>
      </c>
      <c r="L133" s="34">
        <f>I133-F133</f>
        <v/>
      </c>
      <c r="M133" s="31" t="n">
        <v>85</v>
      </c>
      <c r="N133" s="31" t="n">
        <v>499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37" t="inlineStr">
        <is>
          <t>Lost in 2024 (to INC)</t>
        </is>
      </c>
      <c r="E134" s="24" t="n">
        <v>297</v>
      </c>
      <c r="F134" s="25">
        <f>297/761</f>
        <v/>
      </c>
      <c r="G134" s="26" t="inlineStr">
        <is>
          <t>AAP</t>
        </is>
      </c>
      <c r="H134" s="24" t="n">
        <v>144</v>
      </c>
      <c r="I134" s="25">
        <f>144/691</f>
        <v/>
      </c>
      <c r="J134" s="26" t="inlineStr">
        <is>
          <t>INC</t>
        </is>
      </c>
      <c r="K134" s="24" t="n">
        <v>-153</v>
      </c>
      <c r="L134" s="27">
        <f>I134-F134</f>
        <v/>
      </c>
      <c r="M134" s="24" t="n">
        <v>156</v>
      </c>
      <c r="N134" s="24" t="n">
        <v>691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30" t="inlineStr">
        <is>
          <t>Lost Both Times (Deficit)</t>
        </is>
      </c>
      <c r="E135" s="31" t="n">
        <v>225</v>
      </c>
      <c r="F135" s="32">
        <f>225/681</f>
        <v/>
      </c>
      <c r="G135" s="33" t="inlineStr">
        <is>
          <t>SAD</t>
        </is>
      </c>
      <c r="H135" s="31" t="n">
        <v>139</v>
      </c>
      <c r="I135" s="32">
        <f>139/615</f>
        <v/>
      </c>
      <c r="J135" s="33" t="inlineStr">
        <is>
          <t>INC</t>
        </is>
      </c>
      <c r="K135" s="31" t="n">
        <v>-86</v>
      </c>
      <c r="L135" s="34">
        <f>I135-F135</f>
        <v/>
      </c>
      <c r="M135" s="31" t="n">
        <v>98</v>
      </c>
      <c r="N135" s="31" t="n">
        <v>615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35" t="inlineStr">
        <is>
          <t>Gained in 2024 (New Win)</t>
        </is>
      </c>
      <c r="E136" s="24" t="n">
        <v>46</v>
      </c>
      <c r="F136" s="25">
        <f>46/331</f>
        <v/>
      </c>
      <c r="G136" s="26" t="inlineStr">
        <is>
          <t>INC</t>
        </is>
      </c>
      <c r="H136" s="24" t="n">
        <v>145</v>
      </c>
      <c r="I136" s="25">
        <f>145/320</f>
        <v/>
      </c>
      <c r="J136" s="26" t="inlineStr">
        <is>
          <t>AAP</t>
        </is>
      </c>
      <c r="K136" s="24" t="n">
        <v>99</v>
      </c>
      <c r="L136" s="27">
        <f>I136-F136</f>
        <v/>
      </c>
      <c r="M136" s="24" t="n">
        <v>41</v>
      </c>
      <c r="N136" s="24" t="n">
        <v>320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36" t="inlineStr">
        <is>
          <t>Weak Booth (&lt; 20% Share)</t>
        </is>
      </c>
      <c r="E137" s="31" t="n">
        <v>182</v>
      </c>
      <c r="F137" s="32">
        <f>182/764</f>
        <v/>
      </c>
      <c r="G137" s="33" t="inlineStr">
        <is>
          <t>INC</t>
        </is>
      </c>
      <c r="H137" s="31" t="n">
        <v>131</v>
      </c>
      <c r="I137" s="32">
        <f>131/657</f>
        <v/>
      </c>
      <c r="J137" s="33" t="inlineStr">
        <is>
          <t>SAD</t>
        </is>
      </c>
      <c r="K137" s="31" t="n">
        <v>-51</v>
      </c>
      <c r="L137" s="34">
        <f>I137-F137</f>
        <v/>
      </c>
      <c r="M137" s="31" t="n">
        <v>18</v>
      </c>
      <c r="N137" s="31" t="n">
        <v>657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36" t="inlineStr">
        <is>
          <t>Weak Booth (&lt; 20% Share)</t>
        </is>
      </c>
      <c r="E138" s="24" t="n">
        <v>206</v>
      </c>
      <c r="F138" s="25">
        <f>206/639</f>
        <v/>
      </c>
      <c r="G138" s="26" t="inlineStr">
        <is>
          <t>INC</t>
        </is>
      </c>
      <c r="H138" s="24" t="n">
        <v>92</v>
      </c>
      <c r="I138" s="25">
        <f>92/494</f>
        <v/>
      </c>
      <c r="J138" s="26" t="inlineStr">
        <is>
          <t>INC</t>
        </is>
      </c>
      <c r="K138" s="24" t="n">
        <v>-114</v>
      </c>
      <c r="L138" s="27">
        <f>I138-F138</f>
        <v/>
      </c>
      <c r="M138" s="24" t="n">
        <v>32</v>
      </c>
      <c r="N138" s="24" t="n">
        <v>494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23" t="inlineStr">
        <is>
          <t>Won Both Times (Stronghold)</t>
        </is>
      </c>
      <c r="E139" s="31" t="n">
        <v>235</v>
      </c>
      <c r="F139" s="32">
        <f>235/461</f>
        <v/>
      </c>
      <c r="G139" s="33" t="inlineStr">
        <is>
          <t>AAP</t>
        </is>
      </c>
      <c r="H139" s="31" t="n">
        <v>157</v>
      </c>
      <c r="I139" s="32">
        <f>157/390</f>
        <v/>
      </c>
      <c r="J139" s="33" t="inlineStr">
        <is>
          <t>AAP</t>
        </is>
      </c>
      <c r="K139" s="31" t="n">
        <v>-78</v>
      </c>
      <c r="L139" s="34">
        <f>I139-F139</f>
        <v/>
      </c>
      <c r="M139" s="31" t="n">
        <v>66</v>
      </c>
      <c r="N139" s="31" t="n">
        <v>390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35" t="inlineStr">
        <is>
          <t>Gained in 2024 (New Win)</t>
        </is>
      </c>
      <c r="E140" s="24" t="n">
        <v>151</v>
      </c>
      <c r="F140" s="25">
        <f>151/474</f>
        <v/>
      </c>
      <c r="G140" s="26" t="inlineStr">
        <is>
          <t>INC</t>
        </is>
      </c>
      <c r="H140" s="24" t="n">
        <v>142</v>
      </c>
      <c r="I140" s="25">
        <f>142/385</f>
        <v/>
      </c>
      <c r="J140" s="26" t="inlineStr">
        <is>
          <t>AAP</t>
        </is>
      </c>
      <c r="K140" s="24" t="n">
        <v>-9</v>
      </c>
      <c r="L140" s="27">
        <f>I140-F140</f>
        <v/>
      </c>
      <c r="M140" s="24" t="n">
        <v>17</v>
      </c>
      <c r="N140" s="24" t="n">
        <v>385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36" t="inlineStr">
        <is>
          <t>Weak Booth (&lt; 20% Share)</t>
        </is>
      </c>
      <c r="E141" s="31" t="n">
        <v>235</v>
      </c>
      <c r="F141" s="32">
        <f>235/756</f>
        <v/>
      </c>
      <c r="G141" s="33" t="inlineStr">
        <is>
          <t>SAD</t>
        </is>
      </c>
      <c r="H141" s="31" t="n">
        <v>59</v>
      </c>
      <c r="I141" s="32">
        <f>59/535</f>
        <v/>
      </c>
      <c r="J141" s="33" t="inlineStr">
        <is>
          <t>INC</t>
        </is>
      </c>
      <c r="K141" s="31" t="n">
        <v>-176</v>
      </c>
      <c r="L141" s="34">
        <f>I141-F141</f>
        <v/>
      </c>
      <c r="M141" s="31" t="n">
        <v>32</v>
      </c>
      <c r="N141" s="31" t="n">
        <v>535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35" t="inlineStr">
        <is>
          <t>Gained in 2024 (New Win)</t>
        </is>
      </c>
      <c r="E142" s="24" t="n">
        <v>200</v>
      </c>
      <c r="F142" s="25">
        <f>200/876</f>
        <v/>
      </c>
      <c r="G142" s="26" t="inlineStr">
        <is>
          <t>SAD</t>
        </is>
      </c>
      <c r="H142" s="24" t="n">
        <v>203</v>
      </c>
      <c r="I142" s="25">
        <f>203/697</f>
        <v/>
      </c>
      <c r="J142" s="26" t="inlineStr">
        <is>
          <t>AAP</t>
        </is>
      </c>
      <c r="K142" s="24" t="n">
        <v>3</v>
      </c>
      <c r="L142" s="27">
        <f>I142-F142</f>
        <v/>
      </c>
      <c r="M142" s="24" t="n">
        <v>29</v>
      </c>
      <c r="N142" s="24" t="n">
        <v>697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30" t="inlineStr">
        <is>
          <t>Lost Both Times (Deficit)</t>
        </is>
      </c>
      <c r="E143" s="31" t="n">
        <v>172</v>
      </c>
      <c r="F143" s="32">
        <f>172/778</f>
        <v/>
      </c>
      <c r="G143" s="33" t="inlineStr">
        <is>
          <t>INC</t>
        </is>
      </c>
      <c r="H143" s="31" t="n">
        <v>126</v>
      </c>
      <c r="I143" s="32">
        <f>126/594</f>
        <v/>
      </c>
      <c r="J143" s="33" t="inlineStr">
        <is>
          <t>INC</t>
        </is>
      </c>
      <c r="K143" s="31" t="n">
        <v>-46</v>
      </c>
      <c r="L143" s="34">
        <f>I143-F143</f>
        <v/>
      </c>
      <c r="M143" s="31" t="n">
        <v>58</v>
      </c>
      <c r="N143" s="31" t="n">
        <v>594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36" t="inlineStr">
        <is>
          <t>Weak Booth (&lt; 20% Share)</t>
        </is>
      </c>
      <c r="E144" s="24" t="n">
        <v>50</v>
      </c>
      <c r="F144" s="25">
        <f>50/210</f>
        <v/>
      </c>
      <c r="G144" s="26" t="inlineStr">
        <is>
          <t>SAD</t>
        </is>
      </c>
      <c r="H144" s="24" t="n">
        <v>33</v>
      </c>
      <c r="I144" s="25">
        <f>33/193</f>
        <v/>
      </c>
      <c r="J144" s="26" t="inlineStr">
        <is>
          <t>INC</t>
        </is>
      </c>
      <c r="K144" s="24" t="n">
        <v>-17</v>
      </c>
      <c r="L144" s="27">
        <f>I144-F144</f>
        <v/>
      </c>
      <c r="M144" s="24" t="n">
        <v>30</v>
      </c>
      <c r="N144" s="24" t="n">
        <v>193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30" t="inlineStr">
        <is>
          <t>Lost Both Times (Deficit)</t>
        </is>
      </c>
      <c r="E145" s="31" t="n">
        <v>198</v>
      </c>
      <c r="F145" s="32">
        <f>198/612</f>
        <v/>
      </c>
      <c r="G145" s="33" t="inlineStr">
        <is>
          <t>SAD</t>
        </is>
      </c>
      <c r="H145" s="31" t="n">
        <v>139</v>
      </c>
      <c r="I145" s="32">
        <f>139/507</f>
        <v/>
      </c>
      <c r="J145" s="33" t="inlineStr">
        <is>
          <t>INC</t>
        </is>
      </c>
      <c r="K145" s="31" t="n">
        <v>-59</v>
      </c>
      <c r="L145" s="34">
        <f>I145-F145</f>
        <v/>
      </c>
      <c r="M145" s="31" t="n">
        <v>29</v>
      </c>
      <c r="N145" s="31" t="n">
        <v>507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30" t="inlineStr">
        <is>
          <t>Lost Both Times (Deficit)</t>
        </is>
      </c>
      <c r="E146" s="24" t="n">
        <v>176</v>
      </c>
      <c r="F146" s="25">
        <f>176/642</f>
        <v/>
      </c>
      <c r="G146" s="26" t="inlineStr">
        <is>
          <t>INC</t>
        </is>
      </c>
      <c r="H146" s="24" t="n">
        <v>132</v>
      </c>
      <c r="I146" s="25">
        <f>132/492</f>
        <v/>
      </c>
      <c r="J146" s="26" t="inlineStr">
        <is>
          <t>INC</t>
        </is>
      </c>
      <c r="K146" s="24" t="n">
        <v>-44</v>
      </c>
      <c r="L146" s="27">
        <f>I146-F146</f>
        <v/>
      </c>
      <c r="M146" s="24" t="n">
        <v>41</v>
      </c>
      <c r="N146" s="24" t="n">
        <v>492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30" t="inlineStr">
        <is>
          <t>Lost Both Times (Deficit)</t>
        </is>
      </c>
      <c r="E147" s="31" t="n">
        <v>198</v>
      </c>
      <c r="F147" s="32">
        <f>198/635</f>
        <v/>
      </c>
      <c r="G147" s="33" t="inlineStr">
        <is>
          <t>INC</t>
        </is>
      </c>
      <c r="H147" s="31" t="n">
        <v>139</v>
      </c>
      <c r="I147" s="32">
        <f>139/498</f>
        <v/>
      </c>
      <c r="J147" s="33" t="inlineStr">
        <is>
          <t>INC</t>
        </is>
      </c>
      <c r="K147" s="31" t="n">
        <v>-59</v>
      </c>
      <c r="L147" s="34">
        <f>I147-F147</f>
        <v/>
      </c>
      <c r="M147" s="31" t="n">
        <v>25</v>
      </c>
      <c r="N147" s="31" t="n">
        <v>498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30" t="inlineStr">
        <is>
          <t>Lost Both Times (Deficit)</t>
        </is>
      </c>
      <c r="E148" s="24" t="n">
        <v>113</v>
      </c>
      <c r="F148" s="25">
        <f>113/581</f>
        <v/>
      </c>
      <c r="G148" s="26" t="inlineStr">
        <is>
          <t>INC</t>
        </is>
      </c>
      <c r="H148" s="24" t="n">
        <v>98</v>
      </c>
      <c r="I148" s="25">
        <f>98/474</f>
        <v/>
      </c>
      <c r="J148" s="26" t="inlineStr">
        <is>
          <t>INC</t>
        </is>
      </c>
      <c r="K148" s="24" t="n">
        <v>-15</v>
      </c>
      <c r="L148" s="27">
        <f>I148-F148</f>
        <v/>
      </c>
      <c r="M148" s="24" t="n">
        <v>159</v>
      </c>
      <c r="N148" s="24" t="n">
        <v>474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30" t="inlineStr">
        <is>
          <t>Lost Both Times (Deficit)</t>
        </is>
      </c>
      <c r="E149" s="31" t="n">
        <v>103</v>
      </c>
      <c r="F149" s="32">
        <f>103/524</f>
        <v/>
      </c>
      <c r="G149" s="33" t="inlineStr">
        <is>
          <t>INC</t>
        </is>
      </c>
      <c r="H149" s="31" t="n">
        <v>123</v>
      </c>
      <c r="I149" s="32">
        <f>123/404</f>
        <v/>
      </c>
      <c r="J149" s="33" t="inlineStr">
        <is>
          <t>INC</t>
        </is>
      </c>
      <c r="K149" s="31" t="n">
        <v>20</v>
      </c>
      <c r="L149" s="34">
        <f>I149-F149</f>
        <v/>
      </c>
      <c r="M149" s="31" t="n">
        <v>33</v>
      </c>
      <c r="N149" s="31" t="n">
        <v>404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30" t="inlineStr">
        <is>
          <t>Lost Both Times (Deficit)</t>
        </is>
      </c>
      <c r="E150" s="24" t="n">
        <v>93</v>
      </c>
      <c r="F150" s="25">
        <f>93/607</f>
        <v/>
      </c>
      <c r="G150" s="26" t="inlineStr">
        <is>
          <t>INC</t>
        </is>
      </c>
      <c r="H150" s="24" t="n">
        <v>140</v>
      </c>
      <c r="I150" s="25">
        <f>140/517</f>
        <v/>
      </c>
      <c r="J150" s="26" t="inlineStr">
        <is>
          <t>SAD</t>
        </is>
      </c>
      <c r="K150" s="24" t="n">
        <v>47</v>
      </c>
      <c r="L150" s="27">
        <f>I150-F150</f>
        <v/>
      </c>
      <c r="M150" s="24" t="n">
        <v>34</v>
      </c>
      <c r="N150" s="24" t="n">
        <v>517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30" t="inlineStr">
        <is>
          <t>Lost Both Times (Deficit)</t>
        </is>
      </c>
      <c r="E151" s="31" t="n">
        <v>137</v>
      </c>
      <c r="F151" s="32">
        <f>137/568</f>
        <v/>
      </c>
      <c r="G151" s="33" t="inlineStr">
        <is>
          <t>SAD</t>
        </is>
      </c>
      <c r="H151" s="31" t="n">
        <v>116</v>
      </c>
      <c r="I151" s="32">
        <f>116/437</f>
        <v/>
      </c>
      <c r="J151" s="33" t="inlineStr">
        <is>
          <t>INC</t>
        </is>
      </c>
      <c r="K151" s="31" t="n">
        <v>-21</v>
      </c>
      <c r="L151" s="34">
        <f>I151-F151</f>
        <v/>
      </c>
      <c r="M151" s="31" t="n">
        <v>10</v>
      </c>
      <c r="N151" s="31" t="n">
        <v>437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35" t="inlineStr">
        <is>
          <t>Gained in 2024 (New Win)</t>
        </is>
      </c>
      <c r="E152" s="24" t="n">
        <v>228</v>
      </c>
      <c r="F152" s="25">
        <f>228/787</f>
        <v/>
      </c>
      <c r="G152" s="26" t="inlineStr">
        <is>
          <t>SAD</t>
        </is>
      </c>
      <c r="H152" s="24" t="n">
        <v>289</v>
      </c>
      <c r="I152" s="25">
        <f>289/720</f>
        <v/>
      </c>
      <c r="J152" s="26" t="inlineStr">
        <is>
          <t>AAP</t>
        </is>
      </c>
      <c r="K152" s="24" t="n">
        <v>61</v>
      </c>
      <c r="L152" s="27">
        <f>I152-F152</f>
        <v/>
      </c>
      <c r="M152" s="24" t="n">
        <v>134</v>
      </c>
      <c r="N152" s="24" t="n">
        <v>720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30" t="inlineStr">
        <is>
          <t>Lost Both Times (Deficit)</t>
        </is>
      </c>
      <c r="E153" s="31" t="n">
        <v>213</v>
      </c>
      <c r="F153" s="32">
        <f>213/699</f>
        <v/>
      </c>
      <c r="G153" s="33" t="inlineStr">
        <is>
          <t>INC</t>
        </is>
      </c>
      <c r="H153" s="31" t="n">
        <v>155</v>
      </c>
      <c r="I153" s="32">
        <f>155/592</f>
        <v/>
      </c>
      <c r="J153" s="33" t="inlineStr">
        <is>
          <t>SAD-A</t>
        </is>
      </c>
      <c r="K153" s="31" t="n">
        <v>-58</v>
      </c>
      <c r="L153" s="34">
        <f>I153-F153</f>
        <v/>
      </c>
      <c r="M153" s="31" t="n">
        <v>17</v>
      </c>
      <c r="N153" s="31" t="n">
        <v>592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35" t="inlineStr">
        <is>
          <t>Gained in 2024 (New Win)</t>
        </is>
      </c>
      <c r="E154" s="24" t="n">
        <v>191</v>
      </c>
      <c r="F154" s="25">
        <f>191/665</f>
        <v/>
      </c>
      <c r="G154" s="26" t="inlineStr">
        <is>
          <t>INC</t>
        </is>
      </c>
      <c r="H154" s="24" t="n">
        <v>206</v>
      </c>
      <c r="I154" s="25">
        <f>206/626</f>
        <v/>
      </c>
      <c r="J154" s="26" t="inlineStr">
        <is>
          <t>AAP</t>
        </is>
      </c>
      <c r="K154" s="24" t="n">
        <v>15</v>
      </c>
      <c r="L154" s="27">
        <f>I154-F154</f>
        <v/>
      </c>
      <c r="M154" s="24" t="n">
        <v>83</v>
      </c>
      <c r="N154" s="24" t="n">
        <v>626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36" t="inlineStr">
        <is>
          <t>Weak Booth (&lt; 20% Share)</t>
        </is>
      </c>
      <c r="E155" s="31" t="n">
        <v>196</v>
      </c>
      <c r="F155" s="32">
        <f>196/726</f>
        <v/>
      </c>
      <c r="G155" s="33" t="inlineStr">
        <is>
          <t>INC</t>
        </is>
      </c>
      <c r="H155" s="31" t="n">
        <v>69</v>
      </c>
      <c r="I155" s="32">
        <f>69/608</f>
        <v/>
      </c>
      <c r="J155" s="33" t="inlineStr">
        <is>
          <t>INC</t>
        </is>
      </c>
      <c r="K155" s="31" t="n">
        <v>-127</v>
      </c>
      <c r="L155" s="34">
        <f>I155-F155</f>
        <v/>
      </c>
      <c r="M155" s="31" t="n">
        <v>180</v>
      </c>
      <c r="N155" s="31" t="n">
        <v>608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36" t="inlineStr">
        <is>
          <t>Weak Booth (&lt; 20% Share)</t>
        </is>
      </c>
      <c r="E156" s="24" t="n">
        <v>199</v>
      </c>
      <c r="F156" s="25">
        <f>199/817</f>
        <v/>
      </c>
      <c r="G156" s="26" t="inlineStr">
        <is>
          <t>INC</t>
        </is>
      </c>
      <c r="H156" s="24" t="n">
        <v>69</v>
      </c>
      <c r="I156" s="25">
        <f>69/677</f>
        <v/>
      </c>
      <c r="J156" s="26" t="inlineStr">
        <is>
          <t>INC</t>
        </is>
      </c>
      <c r="K156" s="24" t="n">
        <v>-130</v>
      </c>
      <c r="L156" s="27">
        <f>I156-F156</f>
        <v/>
      </c>
      <c r="M156" s="24" t="n">
        <v>53</v>
      </c>
      <c r="N156" s="24" t="n">
        <v>677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37" t="inlineStr">
        <is>
          <t>Lost in 2024 (to INC)</t>
        </is>
      </c>
      <c r="E157" s="31" t="n">
        <v>269</v>
      </c>
      <c r="F157" s="32">
        <f>269/680</f>
        <v/>
      </c>
      <c r="G157" s="33" t="inlineStr">
        <is>
          <t>AAP</t>
        </is>
      </c>
      <c r="H157" s="31" t="n">
        <v>142</v>
      </c>
      <c r="I157" s="32">
        <f>142/519</f>
        <v/>
      </c>
      <c r="J157" s="33" t="inlineStr">
        <is>
          <t>INC</t>
        </is>
      </c>
      <c r="K157" s="31" t="n">
        <v>-127</v>
      </c>
      <c r="L157" s="34">
        <f>I157-F157</f>
        <v/>
      </c>
      <c r="M157" s="31" t="n">
        <v>47</v>
      </c>
      <c r="N157" s="31" t="n">
        <v>519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37" t="inlineStr">
        <is>
          <t>Lost in 2024 (to SAD)</t>
        </is>
      </c>
      <c r="E158" s="24" t="n">
        <v>309</v>
      </c>
      <c r="F158" s="25">
        <f>309/772</f>
        <v/>
      </c>
      <c r="G158" s="26" t="inlineStr">
        <is>
          <t>AAP</t>
        </is>
      </c>
      <c r="H158" s="24" t="n">
        <v>147</v>
      </c>
      <c r="I158" s="25">
        <f>147/593</f>
        <v/>
      </c>
      <c r="J158" s="26" t="inlineStr">
        <is>
          <t>SAD</t>
        </is>
      </c>
      <c r="K158" s="24" t="n">
        <v>-162</v>
      </c>
      <c r="L158" s="27">
        <f>I158-F158</f>
        <v/>
      </c>
      <c r="M158" s="24" t="n">
        <v>3</v>
      </c>
      <c r="N158" s="24" t="n">
        <v>593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35" t="inlineStr">
        <is>
          <t>Gained in 2024 (New Win)</t>
        </is>
      </c>
      <c r="E159" s="31" t="n">
        <v>88</v>
      </c>
      <c r="F159" s="32">
        <f>88/547</f>
        <v/>
      </c>
      <c r="G159" s="33" t="inlineStr">
        <is>
          <t>INC</t>
        </is>
      </c>
      <c r="H159" s="31" t="n">
        <v>237</v>
      </c>
      <c r="I159" s="32">
        <f>237/479</f>
        <v/>
      </c>
      <c r="J159" s="33" t="inlineStr">
        <is>
          <t>AAP</t>
        </is>
      </c>
      <c r="K159" s="31" t="n">
        <v>149</v>
      </c>
      <c r="L159" s="34">
        <f>I159-F159</f>
        <v/>
      </c>
      <c r="M159" s="31" t="n">
        <v>83</v>
      </c>
      <c r="N159" s="31" t="n">
        <v>479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30" t="inlineStr">
        <is>
          <t>Lost Both Times (Deficit)</t>
        </is>
      </c>
      <c r="E160" s="24" t="n">
        <v>50</v>
      </c>
      <c r="F160" s="25">
        <f>50/432</f>
        <v/>
      </c>
      <c r="G160" s="26" t="inlineStr">
        <is>
          <t>INC</t>
        </is>
      </c>
      <c r="H160" s="24" t="n">
        <v>77</v>
      </c>
      <c r="I160" s="25">
        <f>77/379</f>
        <v/>
      </c>
      <c r="J160" s="26" t="inlineStr">
        <is>
          <t>INC</t>
        </is>
      </c>
      <c r="K160" s="24" t="n">
        <v>27</v>
      </c>
      <c r="L160" s="27">
        <f>I160-F160</f>
        <v/>
      </c>
      <c r="M160" s="24" t="n">
        <v>120</v>
      </c>
      <c r="N160" s="24" t="n">
        <v>379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35" t="inlineStr">
        <is>
          <t>Gained in 2024 (New Win)</t>
        </is>
      </c>
      <c r="E161" s="31" t="n">
        <v>151</v>
      </c>
      <c r="F161" s="32">
        <f>151/730</f>
        <v/>
      </c>
      <c r="G161" s="33" t="inlineStr">
        <is>
          <t>INC</t>
        </is>
      </c>
      <c r="H161" s="31" t="n">
        <v>272</v>
      </c>
      <c r="I161" s="32">
        <f>272/590</f>
        <v/>
      </c>
      <c r="J161" s="33" t="inlineStr">
        <is>
          <t>AAP</t>
        </is>
      </c>
      <c r="K161" s="31" t="n">
        <v>121</v>
      </c>
      <c r="L161" s="34">
        <f>I161-F161</f>
        <v/>
      </c>
      <c r="M161" s="31" t="n">
        <v>106</v>
      </c>
      <c r="N161" s="31" t="n">
        <v>590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35" t="inlineStr">
        <is>
          <t>Gained in 2024 (New Win)</t>
        </is>
      </c>
      <c r="E162" s="24" t="n">
        <v>118</v>
      </c>
      <c r="F162" s="25">
        <f>118/381</f>
        <v/>
      </c>
      <c r="G162" s="26" t="inlineStr">
        <is>
          <t>SAD</t>
        </is>
      </c>
      <c r="H162" s="24" t="n">
        <v>119</v>
      </c>
      <c r="I162" s="25">
        <f>119/298</f>
        <v/>
      </c>
      <c r="J162" s="26" t="inlineStr">
        <is>
          <t>AAP</t>
        </is>
      </c>
      <c r="K162" s="24" t="n">
        <v>1</v>
      </c>
      <c r="L162" s="27">
        <f>I162-F162</f>
        <v/>
      </c>
      <c r="M162" s="24" t="n">
        <v>45</v>
      </c>
      <c r="N162" s="24" t="n">
        <v>298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30" t="inlineStr">
        <is>
          <t>Lost Both Times (Deficit)</t>
        </is>
      </c>
      <c r="E163" s="31" t="n">
        <v>92</v>
      </c>
      <c r="F163" s="32">
        <f>92/459</f>
        <v/>
      </c>
      <c r="G163" s="33" t="inlineStr">
        <is>
          <t>INC</t>
        </is>
      </c>
      <c r="H163" s="31" t="n">
        <v>154</v>
      </c>
      <c r="I163" s="32">
        <f>154/402</f>
        <v/>
      </c>
      <c r="J163" s="33" t="inlineStr">
        <is>
          <t>INC</t>
        </is>
      </c>
      <c r="K163" s="31" t="n">
        <v>62</v>
      </c>
      <c r="L163" s="34">
        <f>I163-F163</f>
        <v/>
      </c>
      <c r="M163" s="31" t="n">
        <v>14</v>
      </c>
      <c r="N163" s="31" t="n">
        <v>402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30" t="inlineStr">
        <is>
          <t>Lost Both Times (Deficit)</t>
        </is>
      </c>
      <c r="E164" s="24" t="n">
        <v>240</v>
      </c>
      <c r="F164" s="25">
        <f>240/829</f>
        <v/>
      </c>
      <c r="G164" s="26" t="inlineStr">
        <is>
          <t>SAD</t>
        </is>
      </c>
      <c r="H164" s="24" t="n">
        <v>234</v>
      </c>
      <c r="I164" s="25">
        <f>234/748</f>
        <v/>
      </c>
      <c r="J164" s="26" t="inlineStr">
        <is>
          <t>INC</t>
        </is>
      </c>
      <c r="K164" s="24" t="n">
        <v>-6</v>
      </c>
      <c r="L164" s="27">
        <f>I164-F164</f>
        <v/>
      </c>
      <c r="M164" s="24" t="n">
        <v>61</v>
      </c>
      <c r="N164" s="24" t="n">
        <v>748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37" t="inlineStr">
        <is>
          <t>Lost in 2024 (to INC)</t>
        </is>
      </c>
      <c r="E165" s="31" t="n">
        <v>302</v>
      </c>
      <c r="F165" s="32">
        <f>302/758</f>
        <v/>
      </c>
      <c r="G165" s="33" t="inlineStr">
        <is>
          <t>AAP</t>
        </is>
      </c>
      <c r="H165" s="31" t="n">
        <v>75</v>
      </c>
      <c r="I165" s="32">
        <f>75/524</f>
        <v/>
      </c>
      <c r="J165" s="33" t="inlineStr">
        <is>
          <t>INC</t>
        </is>
      </c>
      <c r="K165" s="31" t="n">
        <v>-227</v>
      </c>
      <c r="L165" s="34">
        <f>I165-F165</f>
        <v/>
      </c>
      <c r="M165" s="31" t="n">
        <v>131</v>
      </c>
      <c r="N165" s="31" t="n">
        <v>524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37" t="inlineStr">
        <is>
          <t>Lost in 2024 (to INC)</t>
        </is>
      </c>
      <c r="E166" s="24" t="n">
        <v>276</v>
      </c>
      <c r="F166" s="25">
        <f>276/654</f>
        <v/>
      </c>
      <c r="G166" s="26" t="inlineStr">
        <is>
          <t>AAP</t>
        </is>
      </c>
      <c r="H166" s="24" t="n">
        <v>49</v>
      </c>
      <c r="I166" s="25">
        <f>49/458</f>
        <v/>
      </c>
      <c r="J166" s="26" t="inlineStr">
        <is>
          <t>INC</t>
        </is>
      </c>
      <c r="K166" s="24" t="n">
        <v>-227</v>
      </c>
      <c r="L166" s="27">
        <f>I166-F166</f>
        <v/>
      </c>
      <c r="M166" s="24" t="n">
        <v>192</v>
      </c>
      <c r="N166" s="24" t="n">
        <v>458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37" t="inlineStr">
        <is>
          <t>Lost in 2024 (to INC)</t>
        </is>
      </c>
      <c r="E167" s="31" t="n">
        <v>322</v>
      </c>
      <c r="F167" s="32">
        <f>322/771</f>
        <v/>
      </c>
      <c r="G167" s="33" t="inlineStr">
        <is>
          <t>AAP</t>
        </is>
      </c>
      <c r="H167" s="31" t="n">
        <v>67</v>
      </c>
      <c r="I167" s="32">
        <f>67/529</f>
        <v/>
      </c>
      <c r="J167" s="33" t="inlineStr">
        <is>
          <t>INC</t>
        </is>
      </c>
      <c r="K167" s="31" t="n">
        <v>-255</v>
      </c>
      <c r="L167" s="34">
        <f>I167-F167</f>
        <v/>
      </c>
      <c r="M167" s="31" t="n">
        <v>164</v>
      </c>
      <c r="N167" s="31" t="n">
        <v>529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37" t="inlineStr">
        <is>
          <t>Lost in 2024 (to INC)</t>
        </is>
      </c>
      <c r="E168" s="24" t="n">
        <v>393</v>
      </c>
      <c r="F168" s="25">
        <f>393/852</f>
        <v/>
      </c>
      <c r="G168" s="26" t="inlineStr">
        <is>
          <t>AAP</t>
        </is>
      </c>
      <c r="H168" s="24" t="n">
        <v>110</v>
      </c>
      <c r="I168" s="25">
        <f>110/565</f>
        <v/>
      </c>
      <c r="J168" s="26" t="inlineStr">
        <is>
          <t>INC</t>
        </is>
      </c>
      <c r="K168" s="24" t="n">
        <v>-283</v>
      </c>
      <c r="L168" s="27">
        <f>I168-F168</f>
        <v/>
      </c>
      <c r="M168" s="24" t="n">
        <v>136</v>
      </c>
      <c r="N168" s="24" t="n">
        <v>565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36" t="inlineStr">
        <is>
          <t>Weak Booth (&lt; 20% Share)</t>
        </is>
      </c>
      <c r="E169" s="31" t="n">
        <v>77</v>
      </c>
      <c r="F169" s="32">
        <f>77/549</f>
        <v/>
      </c>
      <c r="G169" s="33" t="inlineStr">
        <is>
          <t>SAD</t>
        </is>
      </c>
      <c r="H169" s="31" t="n">
        <v>57</v>
      </c>
      <c r="I169" s="32">
        <f>57/505</f>
        <v/>
      </c>
      <c r="J169" s="33" t="inlineStr">
        <is>
          <t>SAD</t>
        </is>
      </c>
      <c r="K169" s="31" t="n">
        <v>-20</v>
      </c>
      <c r="L169" s="34">
        <f>I169-F169</f>
        <v/>
      </c>
      <c r="M169" s="31" t="n">
        <v>80</v>
      </c>
      <c r="N169" s="31" t="n">
        <v>505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36" t="inlineStr">
        <is>
          <t>Weak Booth (&lt; 20% Share)</t>
        </is>
      </c>
      <c r="E170" s="24" t="n">
        <v>123</v>
      </c>
      <c r="F170" s="25">
        <f>123/614</f>
        <v/>
      </c>
      <c r="G170" s="26" t="inlineStr">
        <is>
          <t>INC</t>
        </is>
      </c>
      <c r="H170" s="24" t="n">
        <v>85</v>
      </c>
      <c r="I170" s="25">
        <f>85/563</f>
        <v/>
      </c>
      <c r="J170" s="26" t="inlineStr">
        <is>
          <t>INC</t>
        </is>
      </c>
      <c r="K170" s="24" t="n">
        <v>-38</v>
      </c>
      <c r="L170" s="27">
        <f>I170-F170</f>
        <v/>
      </c>
      <c r="M170" s="24" t="n">
        <v>7</v>
      </c>
      <c r="N170" s="24" t="n">
        <v>563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36" t="inlineStr">
        <is>
          <t>Weak Booth (&lt; 20% Share)</t>
        </is>
      </c>
      <c r="E171" s="31" t="n">
        <v>85</v>
      </c>
      <c r="F171" s="32">
        <f>85/811</f>
        <v/>
      </c>
      <c r="G171" s="33" t="inlineStr">
        <is>
          <t>INC</t>
        </is>
      </c>
      <c r="H171" s="31" t="n">
        <v>96</v>
      </c>
      <c r="I171" s="32">
        <f>96/687</f>
        <v/>
      </c>
      <c r="J171" s="33" t="inlineStr">
        <is>
          <t>INC</t>
        </is>
      </c>
      <c r="K171" s="31" t="n">
        <v>11</v>
      </c>
      <c r="L171" s="34">
        <f>I171-F171</f>
        <v/>
      </c>
      <c r="M171" s="31" t="n">
        <v>35</v>
      </c>
      <c r="N171" s="31" t="n">
        <v>687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23" t="inlineStr">
        <is>
          <t>Won Both Times (Stronghold)</t>
        </is>
      </c>
      <c r="E172" s="24" t="n">
        <v>163</v>
      </c>
      <c r="F172" s="25">
        <f>163/422</f>
        <v/>
      </c>
      <c r="G172" s="26" t="inlineStr">
        <is>
          <t>AAP</t>
        </is>
      </c>
      <c r="H172" s="24" t="n">
        <v>104</v>
      </c>
      <c r="I172" s="25">
        <f>104/336</f>
        <v/>
      </c>
      <c r="J172" s="26" t="inlineStr">
        <is>
          <t>AAP</t>
        </is>
      </c>
      <c r="K172" s="24" t="n">
        <v>-59</v>
      </c>
      <c r="L172" s="27">
        <f>I172-F172</f>
        <v/>
      </c>
      <c r="M172" s="24" t="n">
        <v>2</v>
      </c>
      <c r="N172" s="24" t="n">
        <v>336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35" t="inlineStr">
        <is>
          <t>Gained in 2024 (New Win)</t>
        </is>
      </c>
      <c r="E173" s="31" t="n">
        <v>124</v>
      </c>
      <c r="F173" s="32">
        <f>124/677</f>
        <v/>
      </c>
      <c r="G173" s="33" t="inlineStr">
        <is>
          <t>INC</t>
        </is>
      </c>
      <c r="H173" s="31" t="n">
        <v>285</v>
      </c>
      <c r="I173" s="32">
        <f>285/548</f>
        <v/>
      </c>
      <c r="J173" s="33" t="inlineStr">
        <is>
          <t>AAP</t>
        </is>
      </c>
      <c r="K173" s="31" t="n">
        <v>161</v>
      </c>
      <c r="L173" s="34">
        <f>I173-F173</f>
        <v/>
      </c>
      <c r="M173" s="31" t="n">
        <v>164</v>
      </c>
      <c r="N173" s="31" t="n">
        <v>548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35" t="inlineStr">
        <is>
          <t>Gained in 2024 (New Win)</t>
        </is>
      </c>
      <c r="E174" s="24" t="n">
        <v>119</v>
      </c>
      <c r="F174" s="25">
        <f>119/662</f>
        <v/>
      </c>
      <c r="G174" s="26" t="inlineStr">
        <is>
          <t>INC</t>
        </is>
      </c>
      <c r="H174" s="24" t="n">
        <v>198</v>
      </c>
      <c r="I174" s="25">
        <f>198/486</f>
        <v/>
      </c>
      <c r="J174" s="26" t="inlineStr">
        <is>
          <t>AAP</t>
        </is>
      </c>
      <c r="K174" s="24" t="n">
        <v>79</v>
      </c>
      <c r="L174" s="27">
        <f>I174-F174</f>
        <v/>
      </c>
      <c r="M174" s="24" t="n">
        <v>110</v>
      </c>
      <c r="N174" s="24" t="n">
        <v>486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35" t="inlineStr">
        <is>
          <t>Gained in 2024 (New Win)</t>
        </is>
      </c>
      <c r="E175" s="31" t="n">
        <v>222</v>
      </c>
      <c r="F175" s="32">
        <f>222/906</f>
        <v/>
      </c>
      <c r="G175" s="33" t="inlineStr">
        <is>
          <t>INC</t>
        </is>
      </c>
      <c r="H175" s="31" t="n">
        <v>287</v>
      </c>
      <c r="I175" s="32">
        <f>287/755</f>
        <v/>
      </c>
      <c r="J175" s="33" t="inlineStr">
        <is>
          <t>AAP</t>
        </is>
      </c>
      <c r="K175" s="31" t="n">
        <v>65</v>
      </c>
      <c r="L175" s="34">
        <f>I175-F175</f>
        <v/>
      </c>
      <c r="M175" s="31" t="n">
        <v>91</v>
      </c>
      <c r="N175" s="31" t="n">
        <v>755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23" t="inlineStr">
        <is>
          <t>Won Both Times (Stronghold)</t>
        </is>
      </c>
      <c r="E176" s="24" t="n">
        <v>185</v>
      </c>
      <c r="F176" s="25">
        <f>185/436</f>
        <v/>
      </c>
      <c r="G176" s="26" t="inlineStr">
        <is>
          <t>AAP</t>
        </is>
      </c>
      <c r="H176" s="24" t="n">
        <v>155</v>
      </c>
      <c r="I176" s="25">
        <f>155/325</f>
        <v/>
      </c>
      <c r="J176" s="26" t="inlineStr">
        <is>
          <t>AAP</t>
        </is>
      </c>
      <c r="K176" s="24" t="n">
        <v>-30</v>
      </c>
      <c r="L176" s="27">
        <f>I176-F176</f>
        <v/>
      </c>
      <c r="M176" s="24" t="n">
        <v>71</v>
      </c>
      <c r="N176" s="24" t="n">
        <v>325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23" t="inlineStr">
        <is>
          <t>Won Both Times (Stronghold)</t>
        </is>
      </c>
      <c r="E177" s="31" t="n">
        <v>178</v>
      </c>
      <c r="F177" s="32">
        <f>178/526</f>
        <v/>
      </c>
      <c r="G177" s="33" t="inlineStr">
        <is>
          <t>AAP</t>
        </is>
      </c>
      <c r="H177" s="31" t="n">
        <v>192</v>
      </c>
      <c r="I177" s="32">
        <f>192/452</f>
        <v/>
      </c>
      <c r="J177" s="33" t="inlineStr">
        <is>
          <t>AAP</t>
        </is>
      </c>
      <c r="K177" s="31" t="n">
        <v>14</v>
      </c>
      <c r="L177" s="34">
        <f>I177-F177</f>
        <v/>
      </c>
      <c r="M177" s="31" t="n">
        <v>90</v>
      </c>
      <c r="N177" s="31" t="n">
        <v>452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35" t="inlineStr">
        <is>
          <t>Gained in 2024 (New Win)</t>
        </is>
      </c>
      <c r="E178" s="24" t="n">
        <v>158</v>
      </c>
      <c r="F178" s="25">
        <f>158/537</f>
        <v/>
      </c>
      <c r="G178" s="26" t="inlineStr">
        <is>
          <t>SAD</t>
        </is>
      </c>
      <c r="H178" s="24" t="n">
        <v>159</v>
      </c>
      <c r="I178" s="25">
        <f>159/457</f>
        <v/>
      </c>
      <c r="J178" s="26" t="inlineStr">
        <is>
          <t>AAP</t>
        </is>
      </c>
      <c r="K178" s="24" t="n">
        <v>1</v>
      </c>
      <c r="L178" s="27">
        <f>I178-F178</f>
        <v/>
      </c>
      <c r="M178" s="24" t="n">
        <v>52</v>
      </c>
      <c r="N178" s="24" t="n">
        <v>457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35" t="inlineStr">
        <is>
          <t>Gained in 2024 (New Win)</t>
        </is>
      </c>
      <c r="E179" s="31" t="n">
        <v>101</v>
      </c>
      <c r="F179" s="32">
        <f>101/341</f>
        <v/>
      </c>
      <c r="G179" s="33" t="inlineStr">
        <is>
          <t>INC</t>
        </is>
      </c>
      <c r="H179" s="31" t="n">
        <v>156</v>
      </c>
      <c r="I179" s="32">
        <f>156/300</f>
        <v/>
      </c>
      <c r="J179" s="33" t="inlineStr">
        <is>
          <t>AAP</t>
        </is>
      </c>
      <c r="K179" s="31" t="n">
        <v>55</v>
      </c>
      <c r="L179" s="34">
        <f>I179-F179</f>
        <v/>
      </c>
      <c r="M179" s="31" t="n">
        <v>44</v>
      </c>
      <c r="N179" s="31" t="n">
        <v>300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23" t="inlineStr">
        <is>
          <t>Won Both Times (Stronghold)</t>
        </is>
      </c>
      <c r="E180" s="24" t="n">
        <v>300</v>
      </c>
      <c r="F180" s="25">
        <f>300/723</f>
        <v/>
      </c>
      <c r="G180" s="26" t="inlineStr">
        <is>
          <t>AAP</t>
        </is>
      </c>
      <c r="H180" s="24" t="n">
        <v>244</v>
      </c>
      <c r="I180" s="25">
        <f>244/480</f>
        <v/>
      </c>
      <c r="J180" s="26" t="inlineStr">
        <is>
          <t>AAP</t>
        </is>
      </c>
      <c r="K180" s="24" t="n">
        <v>-56</v>
      </c>
      <c r="L180" s="27">
        <f>I180-F180</f>
        <v/>
      </c>
      <c r="M180" s="24" t="n">
        <v>62</v>
      </c>
      <c r="N180" s="24" t="n">
        <v>480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35" t="inlineStr">
        <is>
          <t>Gained in 2024 (New Win)</t>
        </is>
      </c>
      <c r="E181" s="31" t="n">
        <v>127</v>
      </c>
      <c r="F181" s="32">
        <f>127/527</f>
        <v/>
      </c>
      <c r="G181" s="33" t="inlineStr">
        <is>
          <t>INC</t>
        </is>
      </c>
      <c r="H181" s="31" t="n">
        <v>194</v>
      </c>
      <c r="I181" s="32">
        <f>194/417</f>
        <v/>
      </c>
      <c r="J181" s="33" t="inlineStr">
        <is>
          <t>AAP</t>
        </is>
      </c>
      <c r="K181" s="31" t="n">
        <v>67</v>
      </c>
      <c r="L181" s="34">
        <f>I181-F181</f>
        <v/>
      </c>
      <c r="M181" s="31" t="n">
        <v>22</v>
      </c>
      <c r="N181" s="31" t="n">
        <v>417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30" t="inlineStr">
        <is>
          <t>Lost Both Times (Deficit)</t>
        </is>
      </c>
      <c r="E182" s="24" t="n">
        <v>89</v>
      </c>
      <c r="F182" s="25">
        <f>89/477</f>
        <v/>
      </c>
      <c r="G182" s="26" t="inlineStr">
        <is>
          <t>INC</t>
        </is>
      </c>
      <c r="H182" s="24" t="n">
        <v>131</v>
      </c>
      <c r="I182" s="25">
        <f>131/620</f>
        <v/>
      </c>
      <c r="J182" s="26" t="inlineStr">
        <is>
          <t>INC</t>
        </is>
      </c>
      <c r="K182" s="24" t="n">
        <v>42</v>
      </c>
      <c r="L182" s="27">
        <f>I182-F182</f>
        <v/>
      </c>
      <c r="M182" s="24" t="n">
        <v>195</v>
      </c>
      <c r="N182" s="24" t="n">
        <v>620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35" t="inlineStr">
        <is>
          <t>Gained in 2024 (New Win)</t>
        </is>
      </c>
      <c r="E183" s="31" t="n">
        <v>173</v>
      </c>
      <c r="F183" s="32">
        <f>173/631</f>
        <v/>
      </c>
      <c r="G183" s="33" t="inlineStr">
        <is>
          <t>SAD</t>
        </is>
      </c>
      <c r="H183" s="31" t="n">
        <v>240</v>
      </c>
      <c r="I183" s="32">
        <f>240/513</f>
        <v/>
      </c>
      <c r="J183" s="33" t="inlineStr">
        <is>
          <t>AAP</t>
        </is>
      </c>
      <c r="K183" s="31" t="n">
        <v>67</v>
      </c>
      <c r="L183" s="34">
        <f>I183-F183</f>
        <v/>
      </c>
      <c r="M183" s="31" t="n">
        <v>67</v>
      </c>
      <c r="N183" s="31" t="n">
        <v>513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30" t="inlineStr">
        <is>
          <t>Lost Both Times (Deficit)</t>
        </is>
      </c>
      <c r="E184" s="24" t="n">
        <v>48</v>
      </c>
      <c r="F184" s="25">
        <f>48/432</f>
        <v/>
      </c>
      <c r="G184" s="26" t="inlineStr">
        <is>
          <t>INC</t>
        </is>
      </c>
      <c r="H184" s="24" t="n">
        <v>114</v>
      </c>
      <c r="I184" s="25">
        <f>114/355</f>
        <v/>
      </c>
      <c r="J184" s="26" t="inlineStr">
        <is>
          <t>INC</t>
        </is>
      </c>
      <c r="K184" s="24" t="n">
        <v>66</v>
      </c>
      <c r="L184" s="27">
        <f>I184-F184</f>
        <v/>
      </c>
      <c r="M184" s="24" t="n">
        <v>25</v>
      </c>
      <c r="N184" s="24" t="n">
        <v>355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35" t="inlineStr">
        <is>
          <t>Gained in 2024 (New Win)</t>
        </is>
      </c>
      <c r="E185" s="31" t="n">
        <v>150</v>
      </c>
      <c r="F185" s="32">
        <f>150/686</f>
        <v/>
      </c>
      <c r="G185" s="33" t="inlineStr">
        <is>
          <t>INC</t>
        </is>
      </c>
      <c r="H185" s="31" t="n">
        <v>217</v>
      </c>
      <c r="I185" s="32">
        <f>217/567</f>
        <v/>
      </c>
      <c r="J185" s="33" t="inlineStr">
        <is>
          <t>AAP</t>
        </is>
      </c>
      <c r="K185" s="31" t="n">
        <v>67</v>
      </c>
      <c r="L185" s="34">
        <f>I185-F185</f>
        <v/>
      </c>
      <c r="M185" s="31" t="n">
        <v>61</v>
      </c>
      <c r="N185" s="31" t="n">
        <v>567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30" t="inlineStr">
        <is>
          <t>Lost Both Times (Deficit)</t>
        </is>
      </c>
      <c r="E186" s="24" t="n">
        <v>200</v>
      </c>
      <c r="F186" s="25">
        <f>200/757</f>
        <v/>
      </c>
      <c r="G186" s="26" t="inlineStr">
        <is>
          <t>INC</t>
        </is>
      </c>
      <c r="H186" s="24" t="n">
        <v>176</v>
      </c>
      <c r="I186" s="25">
        <f>176/602</f>
        <v/>
      </c>
      <c r="J186" s="26" t="inlineStr">
        <is>
          <t>INC</t>
        </is>
      </c>
      <c r="K186" s="24" t="n">
        <v>-24</v>
      </c>
      <c r="L186" s="27">
        <f>I186-F186</f>
        <v/>
      </c>
      <c r="M186" s="24" t="n">
        <v>4</v>
      </c>
      <c r="N186" s="24" t="n">
        <v>602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36" t="inlineStr">
        <is>
          <t>Weak Booth (&lt; 20% Share)</t>
        </is>
      </c>
      <c r="E187" s="31" t="n">
        <v>130</v>
      </c>
      <c r="F187" s="32">
        <f>130/810</f>
        <v/>
      </c>
      <c r="G187" s="33" t="inlineStr">
        <is>
          <t>SAD</t>
        </is>
      </c>
      <c r="H187" s="31" t="n">
        <v>92</v>
      </c>
      <c r="I187" s="32">
        <f>92/672</f>
        <v/>
      </c>
      <c r="J187" s="33" t="inlineStr">
        <is>
          <t>INC</t>
        </is>
      </c>
      <c r="K187" s="31" t="n">
        <v>-38</v>
      </c>
      <c r="L187" s="34">
        <f>I187-F187</f>
        <v/>
      </c>
      <c r="M187" s="31" t="n">
        <v>3</v>
      </c>
      <c r="N187" s="31" t="n">
        <v>672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36" t="inlineStr">
        <is>
          <t>Weak Booth (&lt; 20% Share)</t>
        </is>
      </c>
      <c r="E188" s="24" t="n">
        <v>102</v>
      </c>
      <c r="F188" s="25">
        <f>102/532</f>
        <v/>
      </c>
      <c r="G188" s="26" t="inlineStr">
        <is>
          <t>INC</t>
        </is>
      </c>
      <c r="H188" s="24" t="n">
        <v>50</v>
      </c>
      <c r="I188" s="25">
        <f>50/427</f>
        <v/>
      </c>
      <c r="J188" s="26" t="inlineStr">
        <is>
          <t>INC</t>
        </is>
      </c>
      <c r="K188" s="24" t="n">
        <v>-52</v>
      </c>
      <c r="L188" s="27">
        <f>I188-F188</f>
        <v/>
      </c>
      <c r="M188" s="24" t="n">
        <v>49</v>
      </c>
      <c r="N188" s="24" t="n">
        <v>427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36" t="inlineStr">
        <is>
          <t>Weak Booth (&lt; 20% Share)</t>
        </is>
      </c>
      <c r="E189" s="31" t="n">
        <v>110</v>
      </c>
      <c r="F189" s="32">
        <f>110/558</f>
        <v/>
      </c>
      <c r="G189" s="33" t="inlineStr">
        <is>
          <t>INC</t>
        </is>
      </c>
      <c r="H189" s="31" t="n">
        <v>89</v>
      </c>
      <c r="I189" s="32">
        <f>89/465</f>
        <v/>
      </c>
      <c r="J189" s="33" t="inlineStr">
        <is>
          <t>INC</t>
        </is>
      </c>
      <c r="K189" s="31" t="n">
        <v>-21</v>
      </c>
      <c r="L189" s="34">
        <f>I189-F189</f>
        <v/>
      </c>
      <c r="M189" s="31" t="n">
        <v>33</v>
      </c>
      <c r="N189" s="31" t="n">
        <v>465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36" t="inlineStr">
        <is>
          <t>Weak Booth (&lt; 20% Share)</t>
        </is>
      </c>
      <c r="E190" s="24" t="n">
        <v>179</v>
      </c>
      <c r="F190" s="25">
        <f>179/801</f>
        <v/>
      </c>
      <c r="G190" s="26" t="inlineStr">
        <is>
          <t>SAD</t>
        </is>
      </c>
      <c r="H190" s="24" t="n">
        <v>129</v>
      </c>
      <c r="I190" s="25">
        <f>129/690</f>
        <v/>
      </c>
      <c r="J190" s="26" t="inlineStr">
        <is>
          <t>INC</t>
        </is>
      </c>
      <c r="K190" s="24" t="n">
        <v>-50</v>
      </c>
      <c r="L190" s="27">
        <f>I190-F190</f>
        <v/>
      </c>
      <c r="M190" s="24" t="n">
        <v>217</v>
      </c>
      <c r="N190" s="24" t="n">
        <v>690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30" t="inlineStr">
        <is>
          <t>Lost Both Times (Deficit)</t>
        </is>
      </c>
      <c r="E191" s="31" t="n">
        <v>117</v>
      </c>
      <c r="F191" s="32">
        <f>117/723</f>
        <v/>
      </c>
      <c r="G191" s="33" t="inlineStr">
        <is>
          <t>INC</t>
        </is>
      </c>
      <c r="H191" s="31" t="n">
        <v>237</v>
      </c>
      <c r="I191" s="32">
        <f>237/613</f>
        <v/>
      </c>
      <c r="J191" s="33" t="inlineStr">
        <is>
          <t>INC</t>
        </is>
      </c>
      <c r="K191" s="31" t="n">
        <v>120</v>
      </c>
      <c r="L191" s="34">
        <f>I191-F191</f>
        <v/>
      </c>
      <c r="M191" s="31" t="n">
        <v>65</v>
      </c>
      <c r="N191" s="31" t="n">
        <v>613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30" t="inlineStr">
        <is>
          <t>Lost Both Times (Deficit)</t>
        </is>
      </c>
      <c r="E192" s="24" t="n">
        <v>31</v>
      </c>
      <c r="F192" s="25">
        <f>31/316</f>
        <v/>
      </c>
      <c r="G192" s="26" t="inlineStr">
        <is>
          <t>INC</t>
        </is>
      </c>
      <c r="H192" s="24" t="n">
        <v>149</v>
      </c>
      <c r="I192" s="25">
        <f>149/354</f>
        <v/>
      </c>
      <c r="J192" s="26" t="inlineStr">
        <is>
          <t>INC</t>
        </is>
      </c>
      <c r="K192" s="24" t="n">
        <v>118</v>
      </c>
      <c r="L192" s="27">
        <f>I192-F192</f>
        <v/>
      </c>
      <c r="M192" s="24" t="n">
        <v>36</v>
      </c>
      <c r="N192" s="24" t="n">
        <v>354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35" t="inlineStr">
        <is>
          <t>Gained in 2024 (New Win)</t>
        </is>
      </c>
      <c r="E193" s="31" t="n">
        <v>35</v>
      </c>
      <c r="F193" s="32">
        <f>35/561</f>
        <v/>
      </c>
      <c r="G193" s="33" t="inlineStr">
        <is>
          <t>INC</t>
        </is>
      </c>
      <c r="H193" s="31" t="n">
        <v>348</v>
      </c>
      <c r="I193" s="32">
        <f>348/524</f>
        <v/>
      </c>
      <c r="J193" s="33" t="inlineStr">
        <is>
          <t>AAP</t>
        </is>
      </c>
      <c r="K193" s="31" t="n">
        <v>313</v>
      </c>
      <c r="L193" s="34">
        <f>I193-F193</f>
        <v/>
      </c>
      <c r="M193" s="31" t="n">
        <v>256</v>
      </c>
      <c r="N193" s="31" t="n">
        <v>524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35" t="inlineStr">
        <is>
          <t>Gained in 2024 (New Win)</t>
        </is>
      </c>
      <c r="E194" s="24" t="n">
        <v>32</v>
      </c>
      <c r="F194" s="25">
        <f>32/525</f>
        <v/>
      </c>
      <c r="G194" s="26" t="inlineStr">
        <is>
          <t>INC</t>
        </is>
      </c>
      <c r="H194" s="24" t="n">
        <v>309</v>
      </c>
      <c r="I194" s="25">
        <f>309/523</f>
        <v/>
      </c>
      <c r="J194" s="26" t="inlineStr">
        <is>
          <t>AAP</t>
        </is>
      </c>
      <c r="K194" s="24" t="n">
        <v>277</v>
      </c>
      <c r="L194" s="27">
        <f>I194-F194</f>
        <v/>
      </c>
      <c r="M194" s="24" t="n">
        <v>193</v>
      </c>
      <c r="N194" s="24" t="n">
        <v>523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30" t="inlineStr">
        <is>
          <t>Lost Both Times (Deficit)</t>
        </is>
      </c>
      <c r="E195" s="31" t="n">
        <v>98</v>
      </c>
      <c r="F195" s="32">
        <f>98/594</f>
        <v/>
      </c>
      <c r="G195" s="33" t="inlineStr">
        <is>
          <t>SAD</t>
        </is>
      </c>
      <c r="H195" s="31" t="n">
        <v>128</v>
      </c>
      <c r="I195" s="32">
        <f>128/539</f>
        <v/>
      </c>
      <c r="J195" s="33" t="inlineStr">
        <is>
          <t>INC</t>
        </is>
      </c>
      <c r="K195" s="31" t="n">
        <v>30</v>
      </c>
      <c r="L195" s="34">
        <f>I195-F195</f>
        <v/>
      </c>
      <c r="M195" s="31" t="n">
        <v>72</v>
      </c>
      <c r="N195" s="31" t="n">
        <v>539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30" t="inlineStr">
        <is>
          <t>Lost Both Times (Deficit)</t>
        </is>
      </c>
      <c r="E196" s="24" t="n">
        <v>226</v>
      </c>
      <c r="F196" s="25">
        <f>226/792</f>
        <v/>
      </c>
      <c r="G196" s="26" t="inlineStr">
        <is>
          <t>INC</t>
        </is>
      </c>
      <c r="H196" s="24" t="n">
        <v>176</v>
      </c>
      <c r="I196" s="25">
        <f>176/769</f>
        <v/>
      </c>
      <c r="J196" s="26" t="inlineStr">
        <is>
          <t>INC</t>
        </is>
      </c>
      <c r="K196" s="24" t="n">
        <v>-50</v>
      </c>
      <c r="L196" s="27">
        <f>I196-F196</f>
        <v/>
      </c>
      <c r="M196" s="24" t="n">
        <v>29</v>
      </c>
      <c r="N196" s="24" t="n">
        <v>769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30" t="inlineStr">
        <is>
          <t>Lost Both Times (Deficit)</t>
        </is>
      </c>
      <c r="E197" s="31" t="n">
        <v>73</v>
      </c>
      <c r="F197" s="32">
        <f>73/434</f>
        <v/>
      </c>
      <c r="G197" s="33" t="inlineStr">
        <is>
          <t>INC</t>
        </is>
      </c>
      <c r="H197" s="31" t="n">
        <v>84</v>
      </c>
      <c r="I197" s="32">
        <f>84/412</f>
        <v/>
      </c>
      <c r="J197" s="33" t="inlineStr">
        <is>
          <t>INC</t>
        </is>
      </c>
      <c r="K197" s="31" t="n">
        <v>11</v>
      </c>
      <c r="L197" s="34">
        <f>I197-F197</f>
        <v/>
      </c>
      <c r="M197" s="31" t="n">
        <v>81</v>
      </c>
      <c r="N197" s="31" t="n">
        <v>412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30" t="inlineStr">
        <is>
          <t>Lost Both Times (Deficit)</t>
        </is>
      </c>
      <c r="E198" s="24" t="n">
        <v>112</v>
      </c>
      <c r="F198" s="25">
        <f>112/560</f>
        <v/>
      </c>
      <c r="G198" s="26" t="inlineStr">
        <is>
          <t>INC</t>
        </is>
      </c>
      <c r="H198" s="24" t="n">
        <v>130</v>
      </c>
      <c r="I198" s="25">
        <f>130/480</f>
        <v/>
      </c>
      <c r="J198" s="26" t="inlineStr">
        <is>
          <t>INC</t>
        </is>
      </c>
      <c r="K198" s="24" t="n">
        <v>18</v>
      </c>
      <c r="L198" s="27">
        <f>I198-F198</f>
        <v/>
      </c>
      <c r="M198" s="24" t="n">
        <v>45</v>
      </c>
      <c r="N198" s="24" t="n">
        <v>480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36" t="inlineStr">
        <is>
          <t>Weak Booth (&lt; 20% Share)</t>
        </is>
      </c>
      <c r="E199" s="31" t="n">
        <v>180</v>
      </c>
      <c r="F199" s="32">
        <f>180/600</f>
        <v/>
      </c>
      <c r="G199" s="33" t="inlineStr">
        <is>
          <t>INC</t>
        </is>
      </c>
      <c r="H199" s="31" t="n">
        <v>99</v>
      </c>
      <c r="I199" s="32">
        <f>99/505</f>
        <v/>
      </c>
      <c r="J199" s="33" t="inlineStr">
        <is>
          <t>INC</t>
        </is>
      </c>
      <c r="K199" s="31" t="n">
        <v>-81</v>
      </c>
      <c r="L199" s="34">
        <f>I199-F199</f>
        <v/>
      </c>
      <c r="M199" s="31" t="n">
        <v>91</v>
      </c>
      <c r="N199" s="31" t="n">
        <v>505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36" t="inlineStr">
        <is>
          <t>Weak Booth (&lt; 20% Share)</t>
        </is>
      </c>
      <c r="E200" s="24" t="n">
        <v>135</v>
      </c>
      <c r="F200" s="25">
        <f>135/447</f>
        <v/>
      </c>
      <c r="G200" s="26" t="inlineStr">
        <is>
          <t>INC</t>
        </is>
      </c>
      <c r="H200" s="24" t="n">
        <v>70</v>
      </c>
      <c r="I200" s="25">
        <f>70/396</f>
        <v/>
      </c>
      <c r="J200" s="26" t="inlineStr">
        <is>
          <t>INC</t>
        </is>
      </c>
      <c r="K200" s="24" t="n">
        <v>-65</v>
      </c>
      <c r="L200" s="27">
        <f>I200-F200</f>
        <v/>
      </c>
      <c r="M200" s="24" t="n">
        <v>123</v>
      </c>
      <c r="N200" s="24" t="n">
        <v>396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23" t="inlineStr">
        <is>
          <t>Won Both Times (Stronghold)</t>
        </is>
      </c>
      <c r="E201" s="31" t="n">
        <v>281</v>
      </c>
      <c r="F201" s="32">
        <f>281/524</f>
        <v/>
      </c>
      <c r="G201" s="33" t="inlineStr">
        <is>
          <t>AAP</t>
        </is>
      </c>
      <c r="H201" s="31" t="n">
        <v>115</v>
      </c>
      <c r="I201" s="32">
        <f>115/421</f>
        <v/>
      </c>
      <c r="J201" s="33" t="inlineStr">
        <is>
          <t>AAP</t>
        </is>
      </c>
      <c r="K201" s="31" t="n">
        <v>-166</v>
      </c>
      <c r="L201" s="34">
        <f>I201-F201</f>
        <v/>
      </c>
      <c r="M201" s="31" t="n">
        <v>6</v>
      </c>
      <c r="N201" s="31" t="n">
        <v>421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37" t="inlineStr">
        <is>
          <t>Lost in 2024 (to BJP)</t>
        </is>
      </c>
      <c r="E202" s="24" t="n">
        <v>248</v>
      </c>
      <c r="F202" s="25">
        <f>248/549</f>
        <v/>
      </c>
      <c r="G202" s="26" t="inlineStr">
        <is>
          <t>AAP</t>
        </is>
      </c>
      <c r="H202" s="24" t="n">
        <v>120</v>
      </c>
      <c r="I202" s="25">
        <f>120/448</f>
        <v/>
      </c>
      <c r="J202" s="26" t="inlineStr">
        <is>
          <t>BJP</t>
        </is>
      </c>
      <c r="K202" s="24" t="n">
        <v>-128</v>
      </c>
      <c r="L202" s="27">
        <f>I202-F202</f>
        <v/>
      </c>
      <c r="M202" s="24" t="n">
        <v>43</v>
      </c>
      <c r="N202" s="24" t="n">
        <v>448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37" t="inlineStr">
        <is>
          <t>Lost in 2024 (to SAD)</t>
        </is>
      </c>
      <c r="E203" s="31" t="n">
        <v>241</v>
      </c>
      <c r="F203" s="32">
        <f>241/576</f>
        <v/>
      </c>
      <c r="G203" s="33" t="inlineStr">
        <is>
          <t>AAP</t>
        </is>
      </c>
      <c r="H203" s="31" t="n">
        <v>98</v>
      </c>
      <c r="I203" s="32">
        <f>98/499</f>
        <v/>
      </c>
      <c r="J203" s="33" t="inlineStr">
        <is>
          <t>SAD</t>
        </is>
      </c>
      <c r="K203" s="31" t="n">
        <v>-143</v>
      </c>
      <c r="L203" s="34">
        <f>I203-F203</f>
        <v/>
      </c>
      <c r="M203" s="31" t="n">
        <v>36</v>
      </c>
      <c r="N203" s="31" t="n">
        <v>499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37" t="inlineStr">
        <is>
          <t>Lost in 2024 (to SAD)</t>
        </is>
      </c>
      <c r="E204" s="24" t="n">
        <v>282</v>
      </c>
      <c r="F204" s="25">
        <f>282/657</f>
        <v/>
      </c>
      <c r="G204" s="26" t="inlineStr">
        <is>
          <t>AAP</t>
        </is>
      </c>
      <c r="H204" s="24" t="n">
        <v>112</v>
      </c>
      <c r="I204" s="25">
        <f>112/523</f>
        <v/>
      </c>
      <c r="J204" s="26" t="inlineStr">
        <is>
          <t>SAD</t>
        </is>
      </c>
      <c r="K204" s="24" t="n">
        <v>-170</v>
      </c>
      <c r="L204" s="27">
        <f>I204-F204</f>
        <v/>
      </c>
      <c r="M204" s="24" t="n">
        <v>23</v>
      </c>
      <c r="N204" s="24" t="n">
        <v>523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36" t="inlineStr">
        <is>
          <t>Weak Booth (&lt; 20% Share)</t>
        </is>
      </c>
      <c r="E205" s="31" t="n">
        <v>221</v>
      </c>
      <c r="F205" s="32">
        <f>221/685</f>
        <v/>
      </c>
      <c r="G205" s="33" t="inlineStr">
        <is>
          <t>BJP</t>
        </is>
      </c>
      <c r="H205" s="31" t="n">
        <v>86</v>
      </c>
      <c r="I205" s="32">
        <f>86/531</f>
        <v/>
      </c>
      <c r="J205" s="33" t="inlineStr">
        <is>
          <t>BJP</t>
        </is>
      </c>
      <c r="K205" s="31" t="n">
        <v>-135</v>
      </c>
      <c r="L205" s="34">
        <f>I205-F205</f>
        <v/>
      </c>
      <c r="M205" s="31" t="n">
        <v>179</v>
      </c>
      <c r="N205" s="31" t="n">
        <v>531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37" t="inlineStr">
        <is>
          <t>Lost in 2024 (to INC)</t>
        </is>
      </c>
      <c r="E206" s="24" t="n">
        <v>185</v>
      </c>
      <c r="F206" s="25">
        <f>185/400</f>
        <v/>
      </c>
      <c r="G206" s="26" t="inlineStr">
        <is>
          <t>AAP</t>
        </is>
      </c>
      <c r="H206" s="24" t="n">
        <v>78</v>
      </c>
      <c r="I206" s="25">
        <f>78/368</f>
        <v/>
      </c>
      <c r="J206" s="26" t="inlineStr">
        <is>
          <t>INC</t>
        </is>
      </c>
      <c r="K206" s="24" t="n">
        <v>-107</v>
      </c>
      <c r="L206" s="27">
        <f>I206-F206</f>
        <v/>
      </c>
      <c r="M206" s="24" t="n">
        <v>58</v>
      </c>
      <c r="N206" s="24" t="n">
        <v>368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35" t="inlineStr">
        <is>
          <t>Gained in 2024 (New Win)</t>
        </is>
      </c>
      <c r="E207" s="31" t="n">
        <v>173</v>
      </c>
      <c r="F207" s="32">
        <f>173/564</f>
        <v/>
      </c>
      <c r="G207" s="33" t="inlineStr">
        <is>
          <t>INC</t>
        </is>
      </c>
      <c r="H207" s="31" t="n">
        <v>217</v>
      </c>
      <c r="I207" s="32">
        <f>217/488</f>
        <v/>
      </c>
      <c r="J207" s="33" t="inlineStr">
        <is>
          <t>AAP</t>
        </is>
      </c>
      <c r="K207" s="31" t="n">
        <v>44</v>
      </c>
      <c r="L207" s="34">
        <f>I207-F207</f>
        <v/>
      </c>
      <c r="M207" s="31" t="n">
        <v>80</v>
      </c>
      <c r="N207" s="31" t="n">
        <v>488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30" t="inlineStr">
        <is>
          <t>Lost Both Times (Deficit)</t>
        </is>
      </c>
      <c r="E208" s="24" t="n">
        <v>82</v>
      </c>
      <c r="F208" s="25">
        <f>82/253</f>
        <v/>
      </c>
      <c r="G208" s="26" t="inlineStr">
        <is>
          <t>INC</t>
        </is>
      </c>
      <c r="H208" s="24" t="n">
        <v>61</v>
      </c>
      <c r="I208" s="25">
        <f>61/247</f>
        <v/>
      </c>
      <c r="J208" s="26" t="inlineStr">
        <is>
          <t>INC</t>
        </is>
      </c>
      <c r="K208" s="24" t="n">
        <v>-21</v>
      </c>
      <c r="L208" s="27">
        <f>I208-F208</f>
        <v/>
      </c>
      <c r="M208" s="24" t="n">
        <v>51</v>
      </c>
      <c r="N208" s="24" t="n">
        <v>247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36" t="inlineStr">
        <is>
          <t>Weak Booth (&lt; 20% Share)</t>
        </is>
      </c>
      <c r="E209" s="31" t="n">
        <v>156</v>
      </c>
      <c r="F209" s="32">
        <f>156/513</f>
        <v/>
      </c>
      <c r="G209" s="33" t="inlineStr">
        <is>
          <t>INC</t>
        </is>
      </c>
      <c r="H209" s="31" t="n">
        <v>93</v>
      </c>
      <c r="I209" s="32">
        <f>93/468</f>
        <v/>
      </c>
      <c r="J209" s="33" t="inlineStr">
        <is>
          <t>INC</t>
        </is>
      </c>
      <c r="K209" s="31" t="n">
        <v>-63</v>
      </c>
      <c r="L209" s="34">
        <f>I209-F209</f>
        <v/>
      </c>
      <c r="M209" s="31" t="n">
        <v>129</v>
      </c>
      <c r="N209" s="31" t="n">
        <v>468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35" t="inlineStr">
        <is>
          <t>Gained in 2024 (New Win)</t>
        </is>
      </c>
      <c r="E210" s="24" t="n">
        <v>128</v>
      </c>
      <c r="F210" s="25">
        <f>128/385</f>
        <v/>
      </c>
      <c r="G210" s="26" t="inlineStr">
        <is>
          <t>SAD</t>
        </is>
      </c>
      <c r="H210" s="24" t="n">
        <v>190</v>
      </c>
      <c r="I210" s="25">
        <f>190/410</f>
        <v/>
      </c>
      <c r="J210" s="26" t="inlineStr">
        <is>
          <t>AAP</t>
        </is>
      </c>
      <c r="K210" s="24" t="n">
        <v>62</v>
      </c>
      <c r="L210" s="27">
        <f>I210-F210</f>
        <v/>
      </c>
      <c r="M210" s="24" t="n">
        <v>68</v>
      </c>
      <c r="N210" s="24" t="n">
        <v>410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36" t="inlineStr">
        <is>
          <t>Weak Booth (&lt; 20% Share)</t>
        </is>
      </c>
      <c r="E211" s="31" t="n">
        <v>46</v>
      </c>
      <c r="F211" s="32">
        <f>46/464</f>
        <v/>
      </c>
      <c r="G211" s="33" t="inlineStr">
        <is>
          <t>SAD</t>
        </is>
      </c>
      <c r="H211" s="31" t="n">
        <v>20</v>
      </c>
      <c r="I211" s="32">
        <f>20/438</f>
        <v/>
      </c>
      <c r="J211" s="33" t="inlineStr">
        <is>
          <t>SAD</t>
        </is>
      </c>
      <c r="K211" s="31" t="n">
        <v>-26</v>
      </c>
      <c r="L211" s="34">
        <f>I211-F211</f>
        <v/>
      </c>
      <c r="M211" s="31" t="n">
        <v>291</v>
      </c>
      <c r="N211" s="31" t="n">
        <v>438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30" t="inlineStr">
        <is>
          <t>Lost Both Times (Deficit)</t>
        </is>
      </c>
      <c r="E212" s="24" t="n">
        <v>94</v>
      </c>
      <c r="F212" s="25">
        <f>94/613</f>
        <v/>
      </c>
      <c r="G212" s="26" t="inlineStr">
        <is>
          <t>INC</t>
        </is>
      </c>
      <c r="H212" s="24" t="n">
        <v>114</v>
      </c>
      <c r="I212" s="25">
        <f>114/549</f>
        <v/>
      </c>
      <c r="J212" s="26" t="inlineStr">
        <is>
          <t>INC</t>
        </is>
      </c>
      <c r="K212" s="24" t="n">
        <v>20</v>
      </c>
      <c r="L212" s="27">
        <f>I212-F212</f>
        <v/>
      </c>
      <c r="M212" s="24" t="n">
        <v>73</v>
      </c>
      <c r="N212" s="24" t="n">
        <v>549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35" t="inlineStr">
        <is>
          <t>Gained in 2024 (New Win)</t>
        </is>
      </c>
      <c r="E213" s="31" t="n">
        <v>66</v>
      </c>
      <c r="F213" s="32">
        <f>66/237</f>
        <v/>
      </c>
      <c r="G213" s="33" t="inlineStr">
        <is>
          <t>INC</t>
        </is>
      </c>
      <c r="H213" s="31" t="n">
        <v>57</v>
      </c>
      <c r="I213" s="32">
        <f>57/213</f>
        <v/>
      </c>
      <c r="J213" s="33" t="inlineStr">
        <is>
          <t>AAP</t>
        </is>
      </c>
      <c r="K213" s="31" t="n">
        <v>-9</v>
      </c>
      <c r="L213" s="34">
        <f>I213-F213</f>
        <v/>
      </c>
      <c r="M213" s="31" t="n">
        <v>1</v>
      </c>
      <c r="N213" s="31" t="n">
        <v>213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23" t="inlineStr">
        <is>
          <t>Won Both Times (Stronghold)</t>
        </is>
      </c>
      <c r="E214" s="24" t="n">
        <v>261</v>
      </c>
      <c r="F214" s="25">
        <f>261/648</f>
        <v/>
      </c>
      <c r="G214" s="26" t="inlineStr">
        <is>
          <t>AAP</t>
        </is>
      </c>
      <c r="H214" s="24" t="n">
        <v>314</v>
      </c>
      <c r="I214" s="25">
        <f>314/491</f>
        <v/>
      </c>
      <c r="J214" s="26" t="inlineStr">
        <is>
          <t>AAP</t>
        </is>
      </c>
      <c r="K214" s="24" t="n">
        <v>53</v>
      </c>
      <c r="L214" s="27">
        <f>I214-F214</f>
        <v/>
      </c>
      <c r="M214" s="24" t="n">
        <v>222</v>
      </c>
      <c r="N214" s="24" t="n">
        <v>491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23" t="inlineStr">
        <is>
          <t>Won Both Times (Stronghold)</t>
        </is>
      </c>
      <c r="E215" s="31" t="n">
        <v>342</v>
      </c>
      <c r="F215" s="32">
        <f>342/776</f>
        <v/>
      </c>
      <c r="G215" s="33" t="inlineStr">
        <is>
          <t>AAP</t>
        </is>
      </c>
      <c r="H215" s="31" t="n">
        <v>473</v>
      </c>
      <c r="I215" s="32">
        <f>473/648</f>
        <v/>
      </c>
      <c r="J215" s="33" t="inlineStr">
        <is>
          <t>AAP</t>
        </is>
      </c>
      <c r="K215" s="31" t="n">
        <v>131</v>
      </c>
      <c r="L215" s="34">
        <f>I215-F215</f>
        <v/>
      </c>
      <c r="M215" s="31" t="n">
        <v>405</v>
      </c>
      <c r="N215" s="31" t="n">
        <v>648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23" t="inlineStr">
        <is>
          <t>Won Both Times (Stronghold)</t>
        </is>
      </c>
      <c r="E216" s="24" t="n">
        <v>233</v>
      </c>
      <c r="F216" s="25">
        <f>233/587</f>
        <v/>
      </c>
      <c r="G216" s="26" t="inlineStr">
        <is>
          <t>AAP</t>
        </is>
      </c>
      <c r="H216" s="24" t="n">
        <v>314</v>
      </c>
      <c r="I216" s="25">
        <f>314/494</f>
        <v/>
      </c>
      <c r="J216" s="26" t="inlineStr">
        <is>
          <t>AAP</t>
        </is>
      </c>
      <c r="K216" s="24" t="n">
        <v>81</v>
      </c>
      <c r="L216" s="27">
        <f>I216-F216</f>
        <v/>
      </c>
      <c r="M216" s="24" t="n">
        <v>246</v>
      </c>
      <c r="N216" s="24" t="n">
        <v>494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35" t="inlineStr">
        <is>
          <t>Gained in 2024 (New Win)</t>
        </is>
      </c>
      <c r="E217" s="31" t="n">
        <v>220</v>
      </c>
      <c r="F217" s="32">
        <f>220/676</f>
        <v/>
      </c>
      <c r="G217" s="33" t="inlineStr">
        <is>
          <t>INC</t>
        </is>
      </c>
      <c r="H217" s="31" t="n">
        <v>321</v>
      </c>
      <c r="I217" s="32">
        <f>321/563</f>
        <v/>
      </c>
      <c r="J217" s="33" t="inlineStr">
        <is>
          <t>AAP</t>
        </is>
      </c>
      <c r="K217" s="31" t="n">
        <v>101</v>
      </c>
      <c r="L217" s="34">
        <f>I217-F217</f>
        <v/>
      </c>
      <c r="M217" s="31" t="n">
        <v>233</v>
      </c>
      <c r="N217" s="31" t="n">
        <v>563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37" t="inlineStr">
        <is>
          <t>Lost in 2024 (to INC)</t>
        </is>
      </c>
      <c r="E218" s="24" t="n">
        <v>238</v>
      </c>
      <c r="F218" s="25">
        <f>238/772</f>
        <v/>
      </c>
      <c r="G218" s="26" t="inlineStr">
        <is>
          <t>AAP</t>
        </is>
      </c>
      <c r="H218" s="24" t="n">
        <v>139</v>
      </c>
      <c r="I218" s="25">
        <f>139/692</f>
        <v/>
      </c>
      <c r="J218" s="26" t="inlineStr">
        <is>
          <t>INC</t>
        </is>
      </c>
      <c r="K218" s="24" t="n">
        <v>-99</v>
      </c>
      <c r="L218" s="27">
        <f>I218-F218</f>
        <v/>
      </c>
      <c r="M218" s="24" t="n">
        <v>207</v>
      </c>
      <c r="N218" s="24" t="n">
        <v>692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37" t="inlineStr">
        <is>
          <t>Lost in 2024 (to INC)</t>
        </is>
      </c>
      <c r="E219" s="31" t="n">
        <v>344</v>
      </c>
      <c r="F219" s="32">
        <f>344/650</f>
        <v/>
      </c>
      <c r="G219" s="33" t="inlineStr">
        <is>
          <t>AAP</t>
        </is>
      </c>
      <c r="H219" s="31" t="n">
        <v>153</v>
      </c>
      <c r="I219" s="32">
        <f>153/495</f>
        <v/>
      </c>
      <c r="J219" s="33" t="inlineStr">
        <is>
          <t>INC</t>
        </is>
      </c>
      <c r="K219" s="31" t="n">
        <v>-191</v>
      </c>
      <c r="L219" s="34">
        <f>I219-F219</f>
        <v/>
      </c>
      <c r="M219" s="31" t="n">
        <v>15</v>
      </c>
      <c r="N219" s="31" t="n">
        <v>495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23" t="inlineStr">
        <is>
          <t>Won Both Times (Stronghold)</t>
        </is>
      </c>
      <c r="E220" s="24" t="n">
        <v>311</v>
      </c>
      <c r="F220" s="25">
        <f>311/803</f>
        <v/>
      </c>
      <c r="G220" s="26" t="inlineStr">
        <is>
          <t>AAP</t>
        </is>
      </c>
      <c r="H220" s="24" t="n">
        <v>243</v>
      </c>
      <c r="I220" s="25">
        <f>243/649</f>
        <v/>
      </c>
      <c r="J220" s="26" t="inlineStr">
        <is>
          <t>AAP</t>
        </is>
      </c>
      <c r="K220" s="24" t="n">
        <v>-68</v>
      </c>
      <c r="L220" s="27">
        <f>I220-F220</f>
        <v/>
      </c>
      <c r="M220" s="24" t="n">
        <v>15</v>
      </c>
      <c r="N220" s="24" t="n">
        <v>649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23" t="inlineStr">
        <is>
          <t>Won Both Times (Stronghold)</t>
        </is>
      </c>
      <c r="E221" s="31" t="n">
        <v>270</v>
      </c>
      <c r="F221" s="32">
        <f>270/738</f>
        <v/>
      </c>
      <c r="G221" s="33" t="inlineStr">
        <is>
          <t>AAP</t>
        </is>
      </c>
      <c r="H221" s="31" t="n">
        <v>196</v>
      </c>
      <c r="I221" s="32">
        <f>196/581</f>
        <v/>
      </c>
      <c r="J221" s="33" t="inlineStr">
        <is>
          <t>AAP</t>
        </is>
      </c>
      <c r="K221" s="31" t="n">
        <v>-74</v>
      </c>
      <c r="L221" s="34">
        <f>I221-F221</f>
        <v/>
      </c>
      <c r="M221" s="31" t="n">
        <v>27</v>
      </c>
      <c r="N221" s="31" t="n">
        <v>581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23" t="inlineStr">
        <is>
          <t>Won Both Times (Stronghold)</t>
        </is>
      </c>
      <c r="E222" s="24" t="n">
        <v>323</v>
      </c>
      <c r="F222" s="25">
        <f>323/752</f>
        <v/>
      </c>
      <c r="G222" s="26" t="inlineStr">
        <is>
          <t>AAP</t>
        </is>
      </c>
      <c r="H222" s="24" t="n">
        <v>263</v>
      </c>
      <c r="I222" s="25">
        <f>263/706</f>
        <v/>
      </c>
      <c r="J222" s="26" t="inlineStr">
        <is>
          <t>AAP</t>
        </is>
      </c>
      <c r="K222" s="24" t="n">
        <v>-60</v>
      </c>
      <c r="L222" s="27">
        <f>I222-F222</f>
        <v/>
      </c>
      <c r="M222" s="24" t="n">
        <v>85</v>
      </c>
      <c r="N222" s="24" t="n">
        <v>706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30" t="inlineStr">
        <is>
          <t>Lost Both Times (Deficit)</t>
        </is>
      </c>
      <c r="E223" s="31" t="n">
        <v>161</v>
      </c>
      <c r="F223" s="32">
        <f>161/735</f>
        <v/>
      </c>
      <c r="G223" s="33" t="inlineStr">
        <is>
          <t>INC</t>
        </is>
      </c>
      <c r="H223" s="31" t="n">
        <v>155</v>
      </c>
      <c r="I223" s="32">
        <f>155/616</f>
        <v/>
      </c>
      <c r="J223" s="33" t="inlineStr">
        <is>
          <t>INC</t>
        </is>
      </c>
      <c r="K223" s="31" t="n">
        <v>-6</v>
      </c>
      <c r="L223" s="34">
        <f>I223-F223</f>
        <v/>
      </c>
      <c r="M223" s="31" t="n">
        <v>114</v>
      </c>
      <c r="N223" s="31" t="n">
        <v>616</v>
      </c>
    </row>
    <row r="224" ht="24" customHeight="1">
      <c r="A224" s="38" t="inlineStr">
        <is>
          <t>TOTAL</t>
        </is>
      </c>
      <c r="B224" s="38" t="inlineStr">
        <is>
          <t>222 Booths</t>
        </is>
      </c>
      <c r="C224" s="38" t="inlineStr">
        <is>
          <t>Constituency Total</t>
        </is>
      </c>
      <c r="D224" s="38" t="inlineStr">
        <is>
          <t>AAP Master Summary</t>
        </is>
      </c>
      <c r="E224" s="39">
        <f>SUM(E2:E223)</f>
        <v/>
      </c>
      <c r="F224" s="40">
        <f>E224/SUM(N2:N223)</f>
        <v/>
      </c>
      <c r="G224" s="38" t="inlineStr">
        <is>
          <t>AAP Won 58</t>
        </is>
      </c>
      <c r="H224" s="39">
        <f>SUM(H2:H223)</f>
        <v/>
      </c>
      <c r="I224" s="40">
        <f>H224/SUM(N2:N223)</f>
        <v/>
      </c>
      <c r="J224" s="38" t="inlineStr">
        <is>
          <t>AAP Won 69</t>
        </is>
      </c>
      <c r="K224" s="39">
        <f>H224-E224</f>
        <v/>
      </c>
      <c r="L224" s="41">
        <f>I224-F224</f>
        <v/>
      </c>
      <c r="M224" s="39">
        <f>SUM(M2:M223)</f>
        <v/>
      </c>
      <c r="N224" s="39">
        <f>SUM(N2:N223)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0" customWidth="1" min="4" max="4"/>
    <col width="17" customWidth="1" min="5" max="5"/>
    <col width="13" customWidth="1" min="6" max="6"/>
    <col width="14" customWidth="1" min="7" max="7"/>
    <col width="17" customWidth="1" min="8" max="8"/>
    <col width="13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</cols>
  <sheetData>
    <row r="1" ht="28" customHeight="1">
      <c r="A1" s="42" t="inlineStr">
        <is>
          <t>Booth No</t>
        </is>
      </c>
      <c r="B1" s="42" t="inlineStr">
        <is>
          <t>Village / Polling Station (English)</t>
        </is>
      </c>
      <c r="C1" s="42" t="inlineStr">
        <is>
          <t>Village Name (Punjabi)</t>
        </is>
      </c>
      <c r="D1" s="42" t="inlineStr">
        <is>
          <t>INC Status Category</t>
        </is>
      </c>
      <c r="E1" s="42" t="inlineStr">
        <is>
          <t>2022 INC Votes</t>
        </is>
      </c>
      <c r="F1" s="42" t="inlineStr">
        <is>
          <t>2022 INC %</t>
        </is>
      </c>
      <c r="G1" s="42" t="inlineStr">
        <is>
          <t>2022 Winner</t>
        </is>
      </c>
      <c r="H1" s="42" t="inlineStr">
        <is>
          <t>2024 INC Votes</t>
        </is>
      </c>
      <c r="I1" s="42" t="inlineStr">
        <is>
          <t>2024 INC %</t>
        </is>
      </c>
      <c r="J1" s="42" t="inlineStr">
        <is>
          <t>2024 Winner</t>
        </is>
      </c>
      <c r="K1" s="42" t="inlineStr">
        <is>
          <t>Vote Shift (+/-)</t>
        </is>
      </c>
      <c r="L1" s="42" t="inlineStr">
        <is>
          <t>Swing % (+/-)</t>
        </is>
      </c>
      <c r="M1" s="42" t="inlineStr">
        <is>
          <t>2024 Margin</t>
        </is>
      </c>
      <c r="N1" s="42" t="inlineStr">
        <is>
          <t>2024 Total Polled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30" t="inlineStr">
        <is>
          <t>Lost Both Times (Deficit)</t>
        </is>
      </c>
      <c r="E2" s="24" t="n">
        <v>98</v>
      </c>
      <c r="F2" s="25">
        <f>98/281</f>
        <v/>
      </c>
      <c r="G2" s="26" t="inlineStr">
        <is>
          <t>AAP</t>
        </is>
      </c>
      <c r="H2" s="24" t="n">
        <v>71</v>
      </c>
      <c r="I2" s="25">
        <f>71/249</f>
        <v/>
      </c>
      <c r="J2" s="26" t="inlineStr">
        <is>
          <t>AAP</t>
        </is>
      </c>
      <c r="K2" s="24" t="n">
        <v>-27</v>
      </c>
      <c r="L2" s="27">
        <f>I2-F2</f>
        <v/>
      </c>
      <c r="M2" s="24" t="n">
        <v>17</v>
      </c>
      <c r="N2" s="24" t="n">
        <v>249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23" t="inlineStr">
        <is>
          <t>Won Both Times (Stronghold)</t>
        </is>
      </c>
      <c r="E3" s="31" t="n">
        <v>225</v>
      </c>
      <c r="F3" s="32">
        <f>225/614</f>
        <v/>
      </c>
      <c r="G3" s="33" t="inlineStr">
        <is>
          <t>INC</t>
        </is>
      </c>
      <c r="H3" s="31" t="n">
        <v>168</v>
      </c>
      <c r="I3" s="32">
        <f>168/542</f>
        <v/>
      </c>
      <c r="J3" s="33" t="inlineStr">
        <is>
          <t>INC</t>
        </is>
      </c>
      <c r="K3" s="31" t="n">
        <v>-57</v>
      </c>
      <c r="L3" s="34">
        <f>I3-F3</f>
        <v/>
      </c>
      <c r="M3" s="31" t="n">
        <v>17</v>
      </c>
      <c r="N3" s="31" t="n">
        <v>542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30" t="inlineStr">
        <is>
          <t>Lost Both Times (Deficit)</t>
        </is>
      </c>
      <c r="E4" s="24" t="n">
        <v>184</v>
      </c>
      <c r="F4" s="25">
        <f>184/566</f>
        <v/>
      </c>
      <c r="G4" s="26" t="inlineStr">
        <is>
          <t>SAD</t>
        </is>
      </c>
      <c r="H4" s="24" t="n">
        <v>103</v>
      </c>
      <c r="I4" s="25">
        <f>103/500</f>
        <v/>
      </c>
      <c r="J4" s="26" t="inlineStr">
        <is>
          <t>SAD</t>
        </is>
      </c>
      <c r="K4" s="24" t="n">
        <v>-81</v>
      </c>
      <c r="L4" s="27">
        <f>I4-F4</f>
        <v/>
      </c>
      <c r="M4" s="24" t="n">
        <v>41</v>
      </c>
      <c r="N4" s="24" t="n">
        <v>500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37" t="inlineStr">
        <is>
          <t>Lost in 2024 (to AAP)</t>
        </is>
      </c>
      <c r="E5" s="31" t="n">
        <v>337</v>
      </c>
      <c r="F5" s="32">
        <f>337/656</f>
        <v/>
      </c>
      <c r="G5" s="33" t="inlineStr">
        <is>
          <t>INC</t>
        </is>
      </c>
      <c r="H5" s="31" t="n">
        <v>180</v>
      </c>
      <c r="I5" s="32">
        <f>180/660</f>
        <v/>
      </c>
      <c r="J5" s="33" t="inlineStr">
        <is>
          <t>AAP</t>
        </is>
      </c>
      <c r="K5" s="31" t="n">
        <v>-157</v>
      </c>
      <c r="L5" s="34">
        <f>I5-F5</f>
        <v/>
      </c>
      <c r="M5" s="31" t="n">
        <v>83</v>
      </c>
      <c r="N5" s="31" t="n">
        <v>660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37" t="inlineStr">
        <is>
          <t>Lost in 2024 (to AAP)</t>
        </is>
      </c>
      <c r="E6" s="24" t="n">
        <v>240</v>
      </c>
      <c r="F6" s="25">
        <f>240/589</f>
        <v/>
      </c>
      <c r="G6" s="26" t="inlineStr">
        <is>
          <t>INC</t>
        </is>
      </c>
      <c r="H6" s="24" t="n">
        <v>98</v>
      </c>
      <c r="I6" s="25">
        <f>98/541</f>
        <v/>
      </c>
      <c r="J6" s="26" t="inlineStr">
        <is>
          <t>AAP</t>
        </is>
      </c>
      <c r="K6" s="24" t="n">
        <v>-142</v>
      </c>
      <c r="L6" s="27">
        <f>I6-F6</f>
        <v/>
      </c>
      <c r="M6" s="24" t="n">
        <v>79</v>
      </c>
      <c r="N6" s="24" t="n">
        <v>541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36" t="inlineStr">
        <is>
          <t>Weak Booth (&lt; 20% Share)</t>
        </is>
      </c>
      <c r="E7" s="31" t="n">
        <v>225</v>
      </c>
      <c r="F7" s="32">
        <f>225/707</f>
        <v/>
      </c>
      <c r="G7" s="33" t="inlineStr">
        <is>
          <t>SAD</t>
        </is>
      </c>
      <c r="H7" s="31" t="n">
        <v>126</v>
      </c>
      <c r="I7" s="32">
        <f>126/712</f>
        <v/>
      </c>
      <c r="J7" s="33" t="inlineStr">
        <is>
          <t>AAP</t>
        </is>
      </c>
      <c r="K7" s="31" t="n">
        <v>-99</v>
      </c>
      <c r="L7" s="34">
        <f>I7-F7</f>
        <v/>
      </c>
      <c r="M7" s="31" t="n">
        <v>155</v>
      </c>
      <c r="N7" s="31" t="n">
        <v>712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35" t="inlineStr">
        <is>
          <t>Gained in 2024 (New Win)</t>
        </is>
      </c>
      <c r="E8" s="24" t="n">
        <v>211</v>
      </c>
      <c r="F8" s="25">
        <f>211/747</f>
        <v/>
      </c>
      <c r="G8" s="26" t="inlineStr">
        <is>
          <t>SAD</t>
        </is>
      </c>
      <c r="H8" s="24" t="n">
        <v>152</v>
      </c>
      <c r="I8" s="25">
        <f>152/597</f>
        <v/>
      </c>
      <c r="J8" s="26" t="inlineStr">
        <is>
          <t>INC</t>
        </is>
      </c>
      <c r="K8" s="24" t="n">
        <v>-59</v>
      </c>
      <c r="L8" s="27">
        <f>I8-F8</f>
        <v/>
      </c>
      <c r="M8" s="24" t="n">
        <v>15</v>
      </c>
      <c r="N8" s="24" t="n">
        <v>597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35" t="inlineStr">
        <is>
          <t>Gained in 2024 (New Win)</t>
        </is>
      </c>
      <c r="E9" s="31" t="n">
        <v>234</v>
      </c>
      <c r="F9" s="32">
        <f>234/778</f>
        <v/>
      </c>
      <c r="G9" s="33" t="inlineStr">
        <is>
          <t>AAP</t>
        </is>
      </c>
      <c r="H9" s="31" t="n">
        <v>289</v>
      </c>
      <c r="I9" s="32">
        <f>289/697</f>
        <v/>
      </c>
      <c r="J9" s="33" t="inlineStr">
        <is>
          <t>INC</t>
        </is>
      </c>
      <c r="K9" s="31" t="n">
        <v>55</v>
      </c>
      <c r="L9" s="34">
        <f>I9-F9</f>
        <v/>
      </c>
      <c r="M9" s="31" t="n">
        <v>159</v>
      </c>
      <c r="N9" s="31" t="n">
        <v>697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35" t="inlineStr">
        <is>
          <t>Gained in 2024 (New Win)</t>
        </is>
      </c>
      <c r="E10" s="24" t="n">
        <v>180</v>
      </c>
      <c r="F10" s="25">
        <f>180/888</f>
        <v/>
      </c>
      <c r="G10" s="26" t="inlineStr">
        <is>
          <t>AAP</t>
        </is>
      </c>
      <c r="H10" s="24" t="n">
        <v>138</v>
      </c>
      <c r="I10" s="25">
        <f>138/423</f>
        <v/>
      </c>
      <c r="J10" s="26" t="inlineStr">
        <is>
          <t>INC</t>
        </is>
      </c>
      <c r="K10" s="24" t="n">
        <v>-42</v>
      </c>
      <c r="L10" s="27">
        <f>I10-F10</f>
        <v/>
      </c>
      <c r="M10" s="24" t="n">
        <v>48</v>
      </c>
      <c r="N10" s="24" t="n">
        <v>423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30" t="inlineStr">
        <is>
          <t>Lost Both Times (Deficit)</t>
        </is>
      </c>
      <c r="E11" s="31" t="n">
        <v>151</v>
      </c>
      <c r="F11" s="32">
        <f>151/454</f>
        <v/>
      </c>
      <c r="G11" s="33" t="inlineStr">
        <is>
          <t>AAP</t>
        </is>
      </c>
      <c r="H11" s="31" t="n">
        <v>190</v>
      </c>
      <c r="I11" s="32">
        <f>190/751</f>
        <v/>
      </c>
      <c r="J11" s="33" t="inlineStr">
        <is>
          <t>AAP</t>
        </is>
      </c>
      <c r="K11" s="31" t="n">
        <v>39</v>
      </c>
      <c r="L11" s="34">
        <f>I11-F11</f>
        <v/>
      </c>
      <c r="M11" s="31" t="n">
        <v>31</v>
      </c>
      <c r="N11" s="31" t="n">
        <v>751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35" t="inlineStr">
        <is>
          <t>Gained in 2024 (New Win)</t>
        </is>
      </c>
      <c r="E12" s="24" t="n">
        <v>194</v>
      </c>
      <c r="F12" s="25">
        <f>194/653</f>
        <v/>
      </c>
      <c r="G12" s="26" t="inlineStr">
        <is>
          <t>AAP</t>
        </is>
      </c>
      <c r="H12" s="24" t="n">
        <v>163</v>
      </c>
      <c r="I12" s="25">
        <f>163/582</f>
        <v/>
      </c>
      <c r="J12" s="26" t="inlineStr">
        <is>
          <t>INC</t>
        </is>
      </c>
      <c r="K12" s="24" t="n">
        <v>-31</v>
      </c>
      <c r="L12" s="27">
        <f>I12-F12</f>
        <v/>
      </c>
      <c r="M12" s="24" t="n">
        <v>7</v>
      </c>
      <c r="N12" s="24" t="n">
        <v>582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35" t="inlineStr">
        <is>
          <t>Gained in 2024 (New Win)</t>
        </is>
      </c>
      <c r="E13" s="31" t="n">
        <v>190</v>
      </c>
      <c r="F13" s="32">
        <f>190/579</f>
        <v/>
      </c>
      <c r="G13" s="33" t="inlineStr">
        <is>
          <t>SAD</t>
        </is>
      </c>
      <c r="H13" s="31" t="n">
        <v>216</v>
      </c>
      <c r="I13" s="32">
        <f>216/476</f>
        <v/>
      </c>
      <c r="J13" s="33" t="inlineStr">
        <is>
          <t>INC</t>
        </is>
      </c>
      <c r="K13" s="31" t="n">
        <v>26</v>
      </c>
      <c r="L13" s="34">
        <f>I13-F13</f>
        <v/>
      </c>
      <c r="M13" s="31" t="n">
        <v>37</v>
      </c>
      <c r="N13" s="31" t="n">
        <v>476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23" t="inlineStr">
        <is>
          <t>Won Both Times (Stronghold)</t>
        </is>
      </c>
      <c r="E14" s="24" t="n">
        <v>245</v>
      </c>
      <c r="F14" s="25">
        <f>245/704</f>
        <v/>
      </c>
      <c r="G14" s="26" t="inlineStr">
        <is>
          <t>INC</t>
        </is>
      </c>
      <c r="H14" s="24" t="n">
        <v>214</v>
      </c>
      <c r="I14" s="25">
        <f>214/659</f>
        <v/>
      </c>
      <c r="J14" s="26" t="inlineStr">
        <is>
          <t>INC</t>
        </is>
      </c>
      <c r="K14" s="24" t="n">
        <v>-31</v>
      </c>
      <c r="L14" s="27">
        <f>I14-F14</f>
        <v/>
      </c>
      <c r="M14" s="24" t="n">
        <v>28</v>
      </c>
      <c r="N14" s="24" t="n">
        <v>659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23" t="inlineStr">
        <is>
          <t>Won Both Times (Stronghold)</t>
        </is>
      </c>
      <c r="E15" s="31" t="n">
        <v>272</v>
      </c>
      <c r="F15" s="32">
        <f>272/529</f>
        <v/>
      </c>
      <c r="G15" s="33" t="inlineStr">
        <is>
          <t>INC</t>
        </is>
      </c>
      <c r="H15" s="31" t="n">
        <v>184</v>
      </c>
      <c r="I15" s="32">
        <f>184/452</f>
        <v/>
      </c>
      <c r="J15" s="33" t="inlineStr">
        <is>
          <t>INC</t>
        </is>
      </c>
      <c r="K15" s="31" t="n">
        <v>-88</v>
      </c>
      <c r="L15" s="34">
        <f>I15-F15</f>
        <v/>
      </c>
      <c r="M15" s="31" t="n">
        <v>82</v>
      </c>
      <c r="N15" s="31" t="n">
        <v>452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35" t="inlineStr">
        <is>
          <t>Gained in 2024 (New Win)</t>
        </is>
      </c>
      <c r="E16" s="24" t="n">
        <v>113</v>
      </c>
      <c r="F16" s="25">
        <f>113/478</f>
        <v/>
      </c>
      <c r="G16" s="26" t="inlineStr">
        <is>
          <t>AAP</t>
        </is>
      </c>
      <c r="H16" s="24" t="n">
        <v>140</v>
      </c>
      <c r="I16" s="25">
        <f>140/453</f>
        <v/>
      </c>
      <c r="J16" s="26" t="inlineStr">
        <is>
          <t>INC</t>
        </is>
      </c>
      <c r="K16" s="24" t="n">
        <v>27</v>
      </c>
      <c r="L16" s="27">
        <f>I16-F16</f>
        <v/>
      </c>
      <c r="M16" s="24" t="n">
        <v>4</v>
      </c>
      <c r="N16" s="24" t="n">
        <v>453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35" t="inlineStr">
        <is>
          <t>Gained in 2024 (New Win)</t>
        </is>
      </c>
      <c r="E17" s="31" t="n">
        <v>89</v>
      </c>
      <c r="F17" s="32">
        <f>89/278</f>
        <v/>
      </c>
      <c r="G17" s="33" t="inlineStr">
        <is>
          <t>SAD</t>
        </is>
      </c>
      <c r="H17" s="31" t="n">
        <v>113</v>
      </c>
      <c r="I17" s="32">
        <f>113/243</f>
        <v/>
      </c>
      <c r="J17" s="33" t="inlineStr">
        <is>
          <t>INC</t>
        </is>
      </c>
      <c r="K17" s="31" t="n">
        <v>24</v>
      </c>
      <c r="L17" s="34">
        <f>I17-F17</f>
        <v/>
      </c>
      <c r="M17" s="31" t="n">
        <v>44</v>
      </c>
      <c r="N17" s="31" t="n">
        <v>243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30" t="inlineStr">
        <is>
          <t>Lost Both Times (Deficit)</t>
        </is>
      </c>
      <c r="E18" s="24" t="n">
        <v>199</v>
      </c>
      <c r="F18" s="25">
        <f>199/645</f>
        <v/>
      </c>
      <c r="G18" s="26" t="inlineStr">
        <is>
          <t>AAP</t>
        </is>
      </c>
      <c r="H18" s="24" t="n">
        <v>142</v>
      </c>
      <c r="I18" s="25">
        <f>142/512</f>
        <v/>
      </c>
      <c r="J18" s="26" t="inlineStr">
        <is>
          <t>AAP</t>
        </is>
      </c>
      <c r="K18" s="24" t="n">
        <v>-57</v>
      </c>
      <c r="L18" s="27">
        <f>I18-F18</f>
        <v/>
      </c>
      <c r="M18" s="24" t="n">
        <v>11</v>
      </c>
      <c r="N18" s="24" t="n">
        <v>512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23" t="inlineStr">
        <is>
          <t>Won Both Times (Stronghold)</t>
        </is>
      </c>
      <c r="E19" s="31" t="n">
        <v>283</v>
      </c>
      <c r="F19" s="32">
        <f>283/668</f>
        <v/>
      </c>
      <c r="G19" s="33" t="inlineStr">
        <is>
          <t>INC</t>
        </is>
      </c>
      <c r="H19" s="31" t="n">
        <v>212</v>
      </c>
      <c r="I19" s="32">
        <f>212/601</f>
        <v/>
      </c>
      <c r="J19" s="33" t="inlineStr">
        <is>
          <t>INC</t>
        </is>
      </c>
      <c r="K19" s="31" t="n">
        <v>-71</v>
      </c>
      <c r="L19" s="34">
        <f>I19-F19</f>
        <v/>
      </c>
      <c r="M19" s="31" t="n">
        <v>86</v>
      </c>
      <c r="N19" s="31" t="n">
        <v>601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36" t="inlineStr">
        <is>
          <t>Weak Booth (&lt; 20% Share)</t>
        </is>
      </c>
      <c r="E20" s="24" t="n">
        <v>190</v>
      </c>
      <c r="F20" s="25">
        <f>190/658</f>
        <v/>
      </c>
      <c r="G20" s="26" t="inlineStr">
        <is>
          <t>AAP</t>
        </is>
      </c>
      <c r="H20" s="24" t="n">
        <v>101</v>
      </c>
      <c r="I20" s="25">
        <f>101/573</f>
        <v/>
      </c>
      <c r="J20" s="26" t="inlineStr">
        <is>
          <t>BJP</t>
        </is>
      </c>
      <c r="K20" s="24" t="n">
        <v>-89</v>
      </c>
      <c r="L20" s="27">
        <f>I20-F20</f>
        <v/>
      </c>
      <c r="M20" s="24" t="n">
        <v>42</v>
      </c>
      <c r="N20" s="24" t="n">
        <v>573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30" t="inlineStr">
        <is>
          <t>Lost Both Times (Deficit)</t>
        </is>
      </c>
      <c r="E21" s="31" t="n">
        <v>104</v>
      </c>
      <c r="F21" s="32">
        <f>104/403</f>
        <v/>
      </c>
      <c r="G21" s="33" t="inlineStr">
        <is>
          <t>SAD</t>
        </is>
      </c>
      <c r="H21" s="31" t="n">
        <v>74</v>
      </c>
      <c r="I21" s="32">
        <f>74/348</f>
        <v/>
      </c>
      <c r="J21" s="33" t="inlineStr">
        <is>
          <t>SAD</t>
        </is>
      </c>
      <c r="K21" s="31" t="n">
        <v>-30</v>
      </c>
      <c r="L21" s="34">
        <f>I21-F21</f>
        <v/>
      </c>
      <c r="M21" s="31" t="n">
        <v>18</v>
      </c>
      <c r="N21" s="31" t="n">
        <v>348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35" t="inlineStr">
        <is>
          <t>Gained in 2024 (New Win)</t>
        </is>
      </c>
      <c r="E22" s="24" t="n">
        <v>80</v>
      </c>
      <c r="F22" s="25">
        <f>80/375</f>
        <v/>
      </c>
      <c r="G22" s="26" t="inlineStr">
        <is>
          <t>AAP</t>
        </is>
      </c>
      <c r="H22" s="24" t="n">
        <v>80</v>
      </c>
      <c r="I22" s="25">
        <f>80/324</f>
        <v/>
      </c>
      <c r="J22" s="26" t="inlineStr">
        <is>
          <t>INC</t>
        </is>
      </c>
      <c r="K22" s="24" t="n">
        <v>0</v>
      </c>
      <c r="L22" s="27">
        <f>I22-F22</f>
        <v/>
      </c>
      <c r="M22" s="24" t="n">
        <v>5</v>
      </c>
      <c r="N22" s="24" t="n">
        <v>324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36" t="inlineStr">
        <is>
          <t>Weak Booth (&lt; 20% Share)</t>
        </is>
      </c>
      <c r="E23" s="31" t="n">
        <v>161</v>
      </c>
      <c r="F23" s="32">
        <f>161/552</f>
        <v/>
      </c>
      <c r="G23" s="33" t="inlineStr">
        <is>
          <t>SAD</t>
        </is>
      </c>
      <c r="H23" s="31" t="n">
        <v>80</v>
      </c>
      <c r="I23" s="32">
        <f>80/515</f>
        <v/>
      </c>
      <c r="J23" s="33" t="inlineStr">
        <is>
          <t>BJP</t>
        </is>
      </c>
      <c r="K23" s="31" t="n">
        <v>-81</v>
      </c>
      <c r="L23" s="34">
        <f>I23-F23</f>
        <v/>
      </c>
      <c r="M23" s="31" t="n">
        <v>49</v>
      </c>
      <c r="N23" s="31" t="n">
        <v>515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36" t="inlineStr">
        <is>
          <t>Weak Booth (&lt; 20% Share)</t>
        </is>
      </c>
      <c r="E24" s="24" t="n">
        <v>198</v>
      </c>
      <c r="F24" s="25">
        <f>198/575</f>
        <v/>
      </c>
      <c r="G24" s="26" t="inlineStr">
        <is>
          <t>AAP</t>
        </is>
      </c>
      <c r="H24" s="24" t="n">
        <v>110</v>
      </c>
      <c r="I24" s="25">
        <f>110/563</f>
        <v/>
      </c>
      <c r="J24" s="26" t="inlineStr">
        <is>
          <t>BJP</t>
        </is>
      </c>
      <c r="K24" s="24" t="n">
        <v>-88</v>
      </c>
      <c r="L24" s="27">
        <f>I24-F24</f>
        <v/>
      </c>
      <c r="M24" s="24" t="n">
        <v>7</v>
      </c>
      <c r="N24" s="24" t="n">
        <v>563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37" t="inlineStr">
        <is>
          <t>Lost in 2024 (to BJP)</t>
        </is>
      </c>
      <c r="E25" s="31" t="n">
        <v>180</v>
      </c>
      <c r="F25" s="32">
        <f>180/526</f>
        <v/>
      </c>
      <c r="G25" s="33" t="inlineStr">
        <is>
          <t>INC</t>
        </is>
      </c>
      <c r="H25" s="31" t="n">
        <v>67</v>
      </c>
      <c r="I25" s="32">
        <f>67/493</f>
        <v/>
      </c>
      <c r="J25" s="33" t="inlineStr">
        <is>
          <t>BJP</t>
        </is>
      </c>
      <c r="K25" s="31" t="n">
        <v>-113</v>
      </c>
      <c r="L25" s="34">
        <f>I25-F25</f>
        <v/>
      </c>
      <c r="M25" s="31" t="n">
        <v>37</v>
      </c>
      <c r="N25" s="31" t="n">
        <v>493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36" t="inlineStr">
        <is>
          <t>Weak Booth (&lt; 20% Share)</t>
        </is>
      </c>
      <c r="E26" s="24" t="n">
        <v>145</v>
      </c>
      <c r="F26" s="25">
        <f>145/583</f>
        <v/>
      </c>
      <c r="G26" s="26" t="inlineStr">
        <is>
          <t>SAD</t>
        </is>
      </c>
      <c r="H26" s="24" t="n">
        <v>78</v>
      </c>
      <c r="I26" s="25">
        <f>78/534</f>
        <v/>
      </c>
      <c r="J26" s="26" t="inlineStr">
        <is>
          <t>SAD</t>
        </is>
      </c>
      <c r="K26" s="24" t="n">
        <v>-67</v>
      </c>
      <c r="L26" s="27">
        <f>I26-F26</f>
        <v/>
      </c>
      <c r="M26" s="24" t="n">
        <v>0</v>
      </c>
      <c r="N26" s="24" t="n">
        <v>534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23" t="inlineStr">
        <is>
          <t>Won Both Times (Stronghold)</t>
        </is>
      </c>
      <c r="E27" s="31" t="n">
        <v>164</v>
      </c>
      <c r="F27" s="32">
        <f>164/338</f>
        <v/>
      </c>
      <c r="G27" s="33" t="inlineStr">
        <is>
          <t>INC</t>
        </is>
      </c>
      <c r="H27" s="31" t="n">
        <v>115</v>
      </c>
      <c r="I27" s="32">
        <f>115/279</f>
        <v/>
      </c>
      <c r="J27" s="33" t="inlineStr">
        <is>
          <t>INC</t>
        </is>
      </c>
      <c r="K27" s="31" t="n">
        <v>-49</v>
      </c>
      <c r="L27" s="34">
        <f>I27-F27</f>
        <v/>
      </c>
      <c r="M27" s="31" t="n">
        <v>45</v>
      </c>
      <c r="N27" s="31" t="n">
        <v>279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35" t="inlineStr">
        <is>
          <t>Gained in 2024 (New Win)</t>
        </is>
      </c>
      <c r="E28" s="24" t="n">
        <v>170</v>
      </c>
      <c r="F28" s="25">
        <f>170/543</f>
        <v/>
      </c>
      <c r="G28" s="26" t="inlineStr">
        <is>
          <t>SAD</t>
        </is>
      </c>
      <c r="H28" s="24" t="n">
        <v>160</v>
      </c>
      <c r="I28" s="25">
        <f>160/509</f>
        <v/>
      </c>
      <c r="J28" s="26" t="inlineStr">
        <is>
          <t>INC</t>
        </is>
      </c>
      <c r="K28" s="24" t="n">
        <v>-10</v>
      </c>
      <c r="L28" s="27">
        <f>I28-F28</f>
        <v/>
      </c>
      <c r="M28" s="24" t="n">
        <v>40</v>
      </c>
      <c r="N28" s="24" t="n">
        <v>509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23" t="inlineStr">
        <is>
          <t>Won Both Times (Stronghold)</t>
        </is>
      </c>
      <c r="E29" s="31" t="n">
        <v>283</v>
      </c>
      <c r="F29" s="32">
        <f>283/432</f>
        <v/>
      </c>
      <c r="G29" s="33" t="inlineStr">
        <is>
          <t>INC</t>
        </is>
      </c>
      <c r="H29" s="31" t="n">
        <v>220</v>
      </c>
      <c r="I29" s="32">
        <f>220/412</f>
        <v/>
      </c>
      <c r="J29" s="33" t="inlineStr">
        <is>
          <t>INC</t>
        </is>
      </c>
      <c r="K29" s="31" t="n">
        <v>-63</v>
      </c>
      <c r="L29" s="34">
        <f>I29-F29</f>
        <v/>
      </c>
      <c r="M29" s="31" t="n">
        <v>113</v>
      </c>
      <c r="N29" s="31" t="n">
        <v>412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37" t="inlineStr">
        <is>
          <t>Lost in 2024 (to AAP)</t>
        </is>
      </c>
      <c r="E30" s="24" t="n">
        <v>332</v>
      </c>
      <c r="F30" s="25">
        <f>332/735</f>
        <v/>
      </c>
      <c r="G30" s="26" t="inlineStr">
        <is>
          <t>INC</t>
        </is>
      </c>
      <c r="H30" s="24" t="n">
        <v>152</v>
      </c>
      <c r="I30" s="25">
        <f>152/691</f>
        <v/>
      </c>
      <c r="J30" s="26" t="inlineStr">
        <is>
          <t>AAP</t>
        </is>
      </c>
      <c r="K30" s="24" t="n">
        <v>-180</v>
      </c>
      <c r="L30" s="27">
        <f>I30-F30</f>
        <v/>
      </c>
      <c r="M30" s="24" t="n">
        <v>10</v>
      </c>
      <c r="N30" s="24" t="n">
        <v>691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37" t="inlineStr">
        <is>
          <t>Lost in 2024 (to AAP)</t>
        </is>
      </c>
      <c r="E31" s="31" t="n">
        <v>213</v>
      </c>
      <c r="F31" s="32">
        <f>213/564</f>
        <v/>
      </c>
      <c r="G31" s="33" t="inlineStr">
        <is>
          <t>INC</t>
        </is>
      </c>
      <c r="H31" s="31" t="n">
        <v>157</v>
      </c>
      <c r="I31" s="32">
        <f>157/509</f>
        <v/>
      </c>
      <c r="J31" s="33" t="inlineStr">
        <is>
          <t>AAP</t>
        </is>
      </c>
      <c r="K31" s="31" t="n">
        <v>-56</v>
      </c>
      <c r="L31" s="34">
        <f>I31-F31</f>
        <v/>
      </c>
      <c r="M31" s="31" t="n">
        <v>40</v>
      </c>
      <c r="N31" s="31" t="n">
        <v>509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23" t="inlineStr">
        <is>
          <t>Won Both Times (Stronghold)</t>
        </is>
      </c>
      <c r="E32" s="24" t="n">
        <v>162</v>
      </c>
      <c r="F32" s="25">
        <f>162/317</f>
        <v/>
      </c>
      <c r="G32" s="26" t="inlineStr">
        <is>
          <t>INC</t>
        </is>
      </c>
      <c r="H32" s="24" t="n">
        <v>122</v>
      </c>
      <c r="I32" s="25">
        <f>122/300</f>
        <v/>
      </c>
      <c r="J32" s="26" t="inlineStr">
        <is>
          <t>INC</t>
        </is>
      </c>
      <c r="K32" s="24" t="n">
        <v>-40</v>
      </c>
      <c r="L32" s="27">
        <f>I32-F32</f>
        <v/>
      </c>
      <c r="M32" s="24" t="n">
        <v>29</v>
      </c>
      <c r="N32" s="24" t="n">
        <v>300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23" t="inlineStr">
        <is>
          <t>Won Both Times (Stronghold)</t>
        </is>
      </c>
      <c r="E33" s="31" t="n">
        <v>165</v>
      </c>
      <c r="F33" s="32">
        <f>165/353</f>
        <v/>
      </c>
      <c r="G33" s="33" t="inlineStr">
        <is>
          <t>INC</t>
        </is>
      </c>
      <c r="H33" s="31" t="n">
        <v>130</v>
      </c>
      <c r="I33" s="32">
        <f>130/361</f>
        <v/>
      </c>
      <c r="J33" s="33" t="inlineStr">
        <is>
          <t>INC</t>
        </is>
      </c>
      <c r="K33" s="31" t="n">
        <v>-35</v>
      </c>
      <c r="L33" s="34">
        <f>I33-F33</f>
        <v/>
      </c>
      <c r="M33" s="31" t="n">
        <v>23</v>
      </c>
      <c r="N33" s="31" t="n">
        <v>361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23" t="inlineStr">
        <is>
          <t>Won Both Times (Stronghold)</t>
        </is>
      </c>
      <c r="E34" s="24" t="n">
        <v>175</v>
      </c>
      <c r="F34" s="25">
        <f>175/389</f>
        <v/>
      </c>
      <c r="G34" s="26" t="inlineStr">
        <is>
          <t>INC</t>
        </is>
      </c>
      <c r="H34" s="24" t="n">
        <v>136</v>
      </c>
      <c r="I34" s="25">
        <f>136/363</f>
        <v/>
      </c>
      <c r="J34" s="26" t="inlineStr">
        <is>
          <t>INC</t>
        </is>
      </c>
      <c r="K34" s="24" t="n">
        <v>-39</v>
      </c>
      <c r="L34" s="27">
        <f>I34-F34</f>
        <v/>
      </c>
      <c r="M34" s="24" t="n">
        <v>40</v>
      </c>
      <c r="N34" s="24" t="n">
        <v>363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23" t="inlineStr">
        <is>
          <t>Won Both Times (Stronghold)</t>
        </is>
      </c>
      <c r="E35" s="31" t="n">
        <v>352</v>
      </c>
      <c r="F35" s="32">
        <f>352/598</f>
        <v/>
      </c>
      <c r="G35" s="33" t="inlineStr">
        <is>
          <t>INC</t>
        </is>
      </c>
      <c r="H35" s="31" t="n">
        <v>298</v>
      </c>
      <c r="I35" s="32">
        <f>298/517</f>
        <v/>
      </c>
      <c r="J35" s="33" t="inlineStr">
        <is>
          <t>INC</t>
        </is>
      </c>
      <c r="K35" s="31" t="n">
        <v>-54</v>
      </c>
      <c r="L35" s="34">
        <f>I35-F35</f>
        <v/>
      </c>
      <c r="M35" s="31" t="n">
        <v>200</v>
      </c>
      <c r="N35" s="31" t="n">
        <v>517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37" t="inlineStr">
        <is>
          <t>Lost in 2024 (to AAP)</t>
        </is>
      </c>
      <c r="E36" s="24" t="n">
        <v>243</v>
      </c>
      <c r="F36" s="25">
        <f>243/629</f>
        <v/>
      </c>
      <c r="G36" s="26" t="inlineStr">
        <is>
          <t>INC</t>
        </is>
      </c>
      <c r="H36" s="24" t="n">
        <v>190</v>
      </c>
      <c r="I36" s="25">
        <f>190/653</f>
        <v/>
      </c>
      <c r="J36" s="26" t="inlineStr">
        <is>
          <t>AAP</t>
        </is>
      </c>
      <c r="K36" s="24" t="n">
        <v>-53</v>
      </c>
      <c r="L36" s="27">
        <f>I36-F36</f>
        <v/>
      </c>
      <c r="M36" s="24" t="n">
        <v>4</v>
      </c>
      <c r="N36" s="24" t="n">
        <v>653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30" t="inlineStr">
        <is>
          <t>Lost Both Times (Deficit)</t>
        </is>
      </c>
      <c r="E37" s="31" t="n">
        <v>162</v>
      </c>
      <c r="F37" s="32">
        <f>162/661</f>
        <v/>
      </c>
      <c r="G37" s="33" t="inlineStr">
        <is>
          <t>AAP</t>
        </is>
      </c>
      <c r="H37" s="31" t="n">
        <v>120</v>
      </c>
      <c r="I37" s="32">
        <f>120/564</f>
        <v/>
      </c>
      <c r="J37" s="33" t="inlineStr">
        <is>
          <t>AAP</t>
        </is>
      </c>
      <c r="K37" s="31" t="n">
        <v>-42</v>
      </c>
      <c r="L37" s="34">
        <f>I37-F37</f>
        <v/>
      </c>
      <c r="M37" s="31" t="n">
        <v>25</v>
      </c>
      <c r="N37" s="31" t="n">
        <v>564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35" t="inlineStr">
        <is>
          <t>Gained in 2024 (New Win)</t>
        </is>
      </c>
      <c r="E38" s="24" t="n">
        <v>246</v>
      </c>
      <c r="F38" s="25">
        <f>246/797</f>
        <v/>
      </c>
      <c r="G38" s="26" t="inlineStr">
        <is>
          <t>SAD</t>
        </is>
      </c>
      <c r="H38" s="24" t="n">
        <v>280</v>
      </c>
      <c r="I38" s="25">
        <f>280/749</f>
        <v/>
      </c>
      <c r="J38" s="26" t="inlineStr">
        <is>
          <t>INC</t>
        </is>
      </c>
      <c r="K38" s="24" t="n">
        <v>34</v>
      </c>
      <c r="L38" s="27">
        <f>I38-F38</f>
        <v/>
      </c>
      <c r="M38" s="24" t="n">
        <v>101</v>
      </c>
      <c r="N38" s="24" t="n">
        <v>749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35" t="inlineStr">
        <is>
          <t>Gained in 2024 (New Win)</t>
        </is>
      </c>
      <c r="E39" s="31" t="n">
        <v>342</v>
      </c>
      <c r="F39" s="32">
        <f>342/932</f>
        <v/>
      </c>
      <c r="G39" s="33" t="inlineStr">
        <is>
          <t>SAD</t>
        </is>
      </c>
      <c r="H39" s="31" t="n">
        <v>276</v>
      </c>
      <c r="I39" s="32">
        <f>276/858</f>
        <v/>
      </c>
      <c r="J39" s="33" t="inlineStr">
        <is>
          <t>INC</t>
        </is>
      </c>
      <c r="K39" s="31" t="n">
        <v>-66</v>
      </c>
      <c r="L39" s="34">
        <f>I39-F39</f>
        <v/>
      </c>
      <c r="M39" s="31" t="n">
        <v>54</v>
      </c>
      <c r="N39" s="31" t="n">
        <v>858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23" t="inlineStr">
        <is>
          <t>Won Both Times (Stronghold)</t>
        </is>
      </c>
      <c r="E40" s="24" t="n">
        <v>529</v>
      </c>
      <c r="F40" s="25">
        <f>529/941</f>
        <v/>
      </c>
      <c r="G40" s="26" t="inlineStr">
        <is>
          <t>INC</t>
        </is>
      </c>
      <c r="H40" s="24" t="n">
        <v>439</v>
      </c>
      <c r="I40" s="25">
        <f>439/826</f>
        <v/>
      </c>
      <c r="J40" s="26" t="inlineStr">
        <is>
          <t>INC</t>
        </is>
      </c>
      <c r="K40" s="24" t="n">
        <v>-90</v>
      </c>
      <c r="L40" s="27">
        <f>I40-F40</f>
        <v/>
      </c>
      <c r="M40" s="24" t="n">
        <v>290</v>
      </c>
      <c r="N40" s="24" t="n">
        <v>826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23" t="inlineStr">
        <is>
          <t>Won Both Times (Stronghold)</t>
        </is>
      </c>
      <c r="E41" s="31" t="n">
        <v>245</v>
      </c>
      <c r="F41" s="32">
        <f>245/520</f>
        <v/>
      </c>
      <c r="G41" s="33" t="inlineStr">
        <is>
          <t>INC</t>
        </is>
      </c>
      <c r="H41" s="31" t="n">
        <v>158</v>
      </c>
      <c r="I41" s="32">
        <f>158/452</f>
        <v/>
      </c>
      <c r="J41" s="33" t="inlineStr">
        <is>
          <t>INC</t>
        </is>
      </c>
      <c r="K41" s="31" t="n">
        <v>-87</v>
      </c>
      <c r="L41" s="34">
        <f>I41-F41</f>
        <v/>
      </c>
      <c r="M41" s="31" t="n">
        <v>28</v>
      </c>
      <c r="N41" s="31" t="n">
        <v>452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23" t="inlineStr">
        <is>
          <t>Won Both Times (Stronghold)</t>
        </is>
      </c>
      <c r="E42" s="24" t="n">
        <v>161</v>
      </c>
      <c r="F42" s="25">
        <f>161/407</f>
        <v/>
      </c>
      <c r="G42" s="26" t="inlineStr">
        <is>
          <t>INC</t>
        </is>
      </c>
      <c r="H42" s="24" t="n">
        <v>190</v>
      </c>
      <c r="I42" s="25">
        <f>190/349</f>
        <v/>
      </c>
      <c r="J42" s="26" t="inlineStr">
        <is>
          <t>INC</t>
        </is>
      </c>
      <c r="K42" s="24" t="n">
        <v>29</v>
      </c>
      <c r="L42" s="27">
        <f>I42-F42</f>
        <v/>
      </c>
      <c r="M42" s="24" t="n">
        <v>114</v>
      </c>
      <c r="N42" s="24" t="n">
        <v>349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23" t="inlineStr">
        <is>
          <t>Won Both Times (Stronghold)</t>
        </is>
      </c>
      <c r="E43" s="31" t="n">
        <v>259</v>
      </c>
      <c r="F43" s="32">
        <f>259/590</f>
        <v/>
      </c>
      <c r="G43" s="33" t="inlineStr">
        <is>
          <t>INC</t>
        </is>
      </c>
      <c r="H43" s="31" t="n">
        <v>223</v>
      </c>
      <c r="I43" s="32">
        <f>223/512</f>
        <v/>
      </c>
      <c r="J43" s="33" t="inlineStr">
        <is>
          <t>INC</t>
        </is>
      </c>
      <c r="K43" s="31" t="n">
        <v>-36</v>
      </c>
      <c r="L43" s="34">
        <f>I43-F43</f>
        <v/>
      </c>
      <c r="M43" s="31" t="n">
        <v>121</v>
      </c>
      <c r="N43" s="31" t="n">
        <v>512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35" t="inlineStr">
        <is>
          <t>Gained in 2024 (New Win)</t>
        </is>
      </c>
      <c r="E44" s="24" t="n">
        <v>159</v>
      </c>
      <c r="F44" s="25">
        <f>159/566</f>
        <v/>
      </c>
      <c r="G44" s="26" t="inlineStr">
        <is>
          <t>AAP</t>
        </is>
      </c>
      <c r="H44" s="24" t="n">
        <v>162</v>
      </c>
      <c r="I44" s="25">
        <f>162/480</f>
        <v/>
      </c>
      <c r="J44" s="26" t="inlineStr">
        <is>
          <t>INC</t>
        </is>
      </c>
      <c r="K44" s="24" t="n">
        <v>3</v>
      </c>
      <c r="L44" s="27">
        <f>I44-F44</f>
        <v/>
      </c>
      <c r="M44" s="24" t="n">
        <v>6</v>
      </c>
      <c r="N44" s="24" t="n">
        <v>480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23" t="inlineStr">
        <is>
          <t>Won Both Times (Stronghold)</t>
        </is>
      </c>
      <c r="E45" s="31" t="n">
        <v>275</v>
      </c>
      <c r="F45" s="32">
        <f>275/695</f>
        <v/>
      </c>
      <c r="G45" s="33" t="inlineStr">
        <is>
          <t>INC</t>
        </is>
      </c>
      <c r="H45" s="31" t="n">
        <v>272</v>
      </c>
      <c r="I45" s="32">
        <f>272/637</f>
        <v/>
      </c>
      <c r="J45" s="33" t="inlineStr">
        <is>
          <t>INC</t>
        </is>
      </c>
      <c r="K45" s="31" t="n">
        <v>-3</v>
      </c>
      <c r="L45" s="34">
        <f>I45-F45</f>
        <v/>
      </c>
      <c r="M45" s="31" t="n">
        <v>73</v>
      </c>
      <c r="N45" s="31" t="n">
        <v>637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30" t="inlineStr">
        <is>
          <t>Lost Both Times (Deficit)</t>
        </is>
      </c>
      <c r="E46" s="24" t="n">
        <v>46</v>
      </c>
      <c r="F46" s="25">
        <f>46/240</f>
        <v/>
      </c>
      <c r="G46" s="26" t="inlineStr">
        <is>
          <t>SAD</t>
        </is>
      </c>
      <c r="H46" s="24" t="n">
        <v>72</v>
      </c>
      <c r="I46" s="25">
        <f>72/229</f>
        <v/>
      </c>
      <c r="J46" s="26" t="inlineStr">
        <is>
          <t>AAP</t>
        </is>
      </c>
      <c r="K46" s="24" t="n">
        <v>26</v>
      </c>
      <c r="L46" s="27">
        <f>I46-F46</f>
        <v/>
      </c>
      <c r="M46" s="24" t="n">
        <v>18</v>
      </c>
      <c r="N46" s="24" t="n">
        <v>229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23" t="inlineStr">
        <is>
          <t>Won Both Times (Stronghold)</t>
        </is>
      </c>
      <c r="E47" s="31" t="n">
        <v>215</v>
      </c>
      <c r="F47" s="32">
        <f>215/490</f>
        <v/>
      </c>
      <c r="G47" s="33" t="inlineStr">
        <is>
          <t>INC</t>
        </is>
      </c>
      <c r="H47" s="31" t="n">
        <v>150</v>
      </c>
      <c r="I47" s="32">
        <f>150/404</f>
        <v/>
      </c>
      <c r="J47" s="33" t="inlineStr">
        <is>
          <t>INC</t>
        </is>
      </c>
      <c r="K47" s="31" t="n">
        <v>-65</v>
      </c>
      <c r="L47" s="34">
        <f>I47-F47</f>
        <v/>
      </c>
      <c r="M47" s="31" t="n">
        <v>21</v>
      </c>
      <c r="N47" s="31" t="n">
        <v>404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23" t="inlineStr">
        <is>
          <t>Won Both Times (Stronghold)</t>
        </is>
      </c>
      <c r="E48" s="24" t="n">
        <v>224</v>
      </c>
      <c r="F48" s="25">
        <f>224/508</f>
        <v/>
      </c>
      <c r="G48" s="26" t="inlineStr">
        <is>
          <t>INC</t>
        </is>
      </c>
      <c r="H48" s="24" t="n">
        <v>235</v>
      </c>
      <c r="I48" s="25">
        <f>235/475</f>
        <v/>
      </c>
      <c r="J48" s="26" t="inlineStr">
        <is>
          <t>INC</t>
        </is>
      </c>
      <c r="K48" s="24" t="n">
        <v>11</v>
      </c>
      <c r="L48" s="27">
        <f>I48-F48</f>
        <v/>
      </c>
      <c r="M48" s="24" t="n">
        <v>102</v>
      </c>
      <c r="N48" s="24" t="n">
        <v>475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30" t="inlineStr">
        <is>
          <t>Lost Both Times (Deficit)</t>
        </is>
      </c>
      <c r="E49" s="31" t="n">
        <v>208</v>
      </c>
      <c r="F49" s="32">
        <f>208/614</f>
        <v/>
      </c>
      <c r="G49" s="33" t="inlineStr">
        <is>
          <t>SAD</t>
        </is>
      </c>
      <c r="H49" s="31" t="n">
        <v>172</v>
      </c>
      <c r="I49" s="32">
        <f>172/501</f>
        <v/>
      </c>
      <c r="J49" s="33" t="inlineStr">
        <is>
          <t>AAP</t>
        </is>
      </c>
      <c r="K49" s="31" t="n">
        <v>-36</v>
      </c>
      <c r="L49" s="34">
        <f>I49-F49</f>
        <v/>
      </c>
      <c r="M49" s="31" t="n">
        <v>21</v>
      </c>
      <c r="N49" s="31" t="n">
        <v>501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23" t="inlineStr">
        <is>
          <t>Won Both Times (Stronghold)</t>
        </is>
      </c>
      <c r="E50" s="24" t="n">
        <v>131</v>
      </c>
      <c r="F50" s="25">
        <f>131/299</f>
        <v/>
      </c>
      <c r="G50" s="26" t="inlineStr">
        <is>
          <t>INC</t>
        </is>
      </c>
      <c r="H50" s="24" t="n">
        <v>97</v>
      </c>
      <c r="I50" s="25">
        <f>97/265</f>
        <v/>
      </c>
      <c r="J50" s="26" t="inlineStr">
        <is>
          <t>INC</t>
        </is>
      </c>
      <c r="K50" s="24" t="n">
        <v>-34</v>
      </c>
      <c r="L50" s="27">
        <f>I50-F50</f>
        <v/>
      </c>
      <c r="M50" s="24" t="n">
        <v>27</v>
      </c>
      <c r="N50" s="24" t="n">
        <v>265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30" t="inlineStr">
        <is>
          <t>Lost Both Times (Deficit)</t>
        </is>
      </c>
      <c r="E51" s="31" t="n">
        <v>211</v>
      </c>
      <c r="F51" s="32">
        <f>211/679</f>
        <v/>
      </c>
      <c r="G51" s="33" t="inlineStr">
        <is>
          <t>SAD</t>
        </is>
      </c>
      <c r="H51" s="31" t="n">
        <v>134</v>
      </c>
      <c r="I51" s="32">
        <f>134/513</f>
        <v/>
      </c>
      <c r="J51" s="33" t="inlineStr">
        <is>
          <t>BJP</t>
        </is>
      </c>
      <c r="K51" s="31" t="n">
        <v>-77</v>
      </c>
      <c r="L51" s="34">
        <f>I51-F51</f>
        <v/>
      </c>
      <c r="M51" s="31" t="n">
        <v>10</v>
      </c>
      <c r="N51" s="31" t="n">
        <v>513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30" t="inlineStr">
        <is>
          <t>Lost Both Times (Deficit)</t>
        </is>
      </c>
      <c r="E52" s="24" t="n">
        <v>180</v>
      </c>
      <c r="F52" s="25">
        <f>180/594</f>
        <v/>
      </c>
      <c r="G52" s="26" t="inlineStr">
        <is>
          <t>AAP</t>
        </is>
      </c>
      <c r="H52" s="24" t="n">
        <v>101</v>
      </c>
      <c r="I52" s="25">
        <f>101/435</f>
        <v/>
      </c>
      <c r="J52" s="26" t="inlineStr">
        <is>
          <t>AAP</t>
        </is>
      </c>
      <c r="K52" s="24" t="n">
        <v>-79</v>
      </c>
      <c r="L52" s="27">
        <f>I52-F52</f>
        <v/>
      </c>
      <c r="M52" s="24" t="n">
        <v>110</v>
      </c>
      <c r="N52" s="24" t="n">
        <v>435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30" t="inlineStr">
        <is>
          <t>Lost Both Times (Deficit)</t>
        </is>
      </c>
      <c r="E53" s="31" t="n">
        <v>170</v>
      </c>
      <c r="F53" s="32">
        <f>170/627</f>
        <v/>
      </c>
      <c r="G53" s="33" t="inlineStr">
        <is>
          <t>AAP</t>
        </is>
      </c>
      <c r="H53" s="31" t="n">
        <v>171</v>
      </c>
      <c r="I53" s="32">
        <f>171/550</f>
        <v/>
      </c>
      <c r="J53" s="33" t="inlineStr">
        <is>
          <t>AAP</t>
        </is>
      </c>
      <c r="K53" s="31" t="n">
        <v>1</v>
      </c>
      <c r="L53" s="34">
        <f>I53-F53</f>
        <v/>
      </c>
      <c r="M53" s="31" t="n">
        <v>16</v>
      </c>
      <c r="N53" s="31" t="n">
        <v>550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30" t="inlineStr">
        <is>
          <t>Lost Both Times (Deficit)</t>
        </is>
      </c>
      <c r="E54" s="24" t="n">
        <v>91</v>
      </c>
      <c r="F54" s="25">
        <f>91/284</f>
        <v/>
      </c>
      <c r="G54" s="26" t="inlineStr">
        <is>
          <t>SAD</t>
        </is>
      </c>
      <c r="H54" s="24" t="n">
        <v>70</v>
      </c>
      <c r="I54" s="25">
        <f>70/265</f>
        <v/>
      </c>
      <c r="J54" s="26" t="inlineStr">
        <is>
          <t>AAP</t>
        </is>
      </c>
      <c r="K54" s="24" t="n">
        <v>-21</v>
      </c>
      <c r="L54" s="27">
        <f>I54-F54</f>
        <v/>
      </c>
      <c r="M54" s="24" t="n">
        <v>13</v>
      </c>
      <c r="N54" s="24" t="n">
        <v>265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35" t="inlineStr">
        <is>
          <t>Gained in 2024 (New Win)</t>
        </is>
      </c>
      <c r="E55" s="31" t="n">
        <v>136</v>
      </c>
      <c r="F55" s="32">
        <f>136/409</f>
        <v/>
      </c>
      <c r="G55" s="33" t="inlineStr">
        <is>
          <t>SAD</t>
        </is>
      </c>
      <c r="H55" s="31" t="n">
        <v>176</v>
      </c>
      <c r="I55" s="32">
        <f>176/380</f>
        <v/>
      </c>
      <c r="J55" s="33" t="inlineStr">
        <is>
          <t>INC</t>
        </is>
      </c>
      <c r="K55" s="31" t="n">
        <v>40</v>
      </c>
      <c r="L55" s="34">
        <f>I55-F55</f>
        <v/>
      </c>
      <c r="M55" s="31" t="n">
        <v>98</v>
      </c>
      <c r="N55" s="31" t="n">
        <v>380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35" t="inlineStr">
        <is>
          <t>Gained in 2024 (New Win)</t>
        </is>
      </c>
      <c r="E56" s="24" t="n">
        <v>241</v>
      </c>
      <c r="F56" s="25">
        <f>241/853</f>
        <v/>
      </c>
      <c r="G56" s="26" t="inlineStr">
        <is>
          <t>AAP</t>
        </is>
      </c>
      <c r="H56" s="24" t="n">
        <v>241</v>
      </c>
      <c r="I56" s="25">
        <f>241/721</f>
        <v/>
      </c>
      <c r="J56" s="26" t="inlineStr">
        <is>
          <t>INC</t>
        </is>
      </c>
      <c r="K56" s="24" t="n">
        <v>0</v>
      </c>
      <c r="L56" s="27">
        <f>I56-F56</f>
        <v/>
      </c>
      <c r="M56" s="24" t="n">
        <v>7</v>
      </c>
      <c r="N56" s="24" t="n">
        <v>721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35" t="inlineStr">
        <is>
          <t>Gained in 2024 (New Win)</t>
        </is>
      </c>
      <c r="E57" s="31" t="n">
        <v>240</v>
      </c>
      <c r="F57" s="32">
        <f>240/698</f>
        <v/>
      </c>
      <c r="G57" s="33" t="inlineStr">
        <is>
          <t>SAD</t>
        </is>
      </c>
      <c r="H57" s="31" t="n">
        <v>245</v>
      </c>
      <c r="I57" s="32">
        <f>245/579</f>
        <v/>
      </c>
      <c r="J57" s="33" t="inlineStr">
        <is>
          <t>INC</t>
        </is>
      </c>
      <c r="K57" s="31" t="n">
        <v>5</v>
      </c>
      <c r="L57" s="34">
        <f>I57-F57</f>
        <v/>
      </c>
      <c r="M57" s="31" t="n">
        <v>89</v>
      </c>
      <c r="N57" s="31" t="n">
        <v>579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30" t="inlineStr">
        <is>
          <t>Lost Both Times (Deficit)</t>
        </is>
      </c>
      <c r="E58" s="24" t="n">
        <v>249</v>
      </c>
      <c r="F58" s="25">
        <f>249/776</f>
        <v/>
      </c>
      <c r="G58" s="26" t="inlineStr">
        <is>
          <t>SAD</t>
        </is>
      </c>
      <c r="H58" s="24" t="n">
        <v>189</v>
      </c>
      <c r="I58" s="25">
        <f>189/681</f>
        <v/>
      </c>
      <c r="J58" s="26" t="inlineStr">
        <is>
          <t>SAD</t>
        </is>
      </c>
      <c r="K58" s="24" t="n">
        <v>-60</v>
      </c>
      <c r="L58" s="27">
        <f>I58-F58</f>
        <v/>
      </c>
      <c r="M58" s="24" t="n">
        <v>85</v>
      </c>
      <c r="N58" s="24" t="n">
        <v>681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30" t="inlineStr">
        <is>
          <t>Lost Both Times (Deficit)</t>
        </is>
      </c>
      <c r="E59" s="31" t="n">
        <v>171</v>
      </c>
      <c r="F59" s="32">
        <f>171/688</f>
        <v/>
      </c>
      <c r="G59" s="33" t="inlineStr">
        <is>
          <t>SAD</t>
        </is>
      </c>
      <c r="H59" s="31" t="n">
        <v>150</v>
      </c>
      <c r="I59" s="32">
        <f>150/550</f>
        <v/>
      </c>
      <c r="J59" s="33" t="inlineStr">
        <is>
          <t>SAD</t>
        </is>
      </c>
      <c r="K59" s="31" t="n">
        <v>-21</v>
      </c>
      <c r="L59" s="34">
        <f>I59-F59</f>
        <v/>
      </c>
      <c r="M59" s="31" t="n">
        <v>78</v>
      </c>
      <c r="N59" s="31" t="n">
        <v>550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37" t="inlineStr">
        <is>
          <t>Lost in 2024 (to SAD)</t>
        </is>
      </c>
      <c r="E60" s="24" t="n">
        <v>133</v>
      </c>
      <c r="F60" s="25">
        <f>133/350</f>
        <v/>
      </c>
      <c r="G60" s="26" t="inlineStr">
        <is>
          <t>INC</t>
        </is>
      </c>
      <c r="H60" s="24" t="n">
        <v>96</v>
      </c>
      <c r="I60" s="25">
        <f>96/304</f>
        <v/>
      </c>
      <c r="J60" s="26" t="inlineStr">
        <is>
          <t>SAD</t>
        </is>
      </c>
      <c r="K60" s="24" t="n">
        <v>-37</v>
      </c>
      <c r="L60" s="27">
        <f>I60-F60</f>
        <v/>
      </c>
      <c r="M60" s="24" t="n">
        <v>21</v>
      </c>
      <c r="N60" s="24" t="n">
        <v>304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30" t="inlineStr">
        <is>
          <t>Lost Both Times (Deficit)</t>
        </is>
      </c>
      <c r="E61" s="31" t="n">
        <v>156</v>
      </c>
      <c r="F61" s="32">
        <f>156/679</f>
        <v/>
      </c>
      <c r="G61" s="33" t="inlineStr">
        <is>
          <t>SAD</t>
        </is>
      </c>
      <c r="H61" s="31" t="n">
        <v>129</v>
      </c>
      <c r="I61" s="32">
        <f>129/526</f>
        <v/>
      </c>
      <c r="J61" s="33" t="inlineStr">
        <is>
          <t>SAD</t>
        </is>
      </c>
      <c r="K61" s="31" t="n">
        <v>-27</v>
      </c>
      <c r="L61" s="34">
        <f>I61-F61</f>
        <v/>
      </c>
      <c r="M61" s="31" t="n">
        <v>142</v>
      </c>
      <c r="N61" s="31" t="n">
        <v>526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30" t="inlineStr">
        <is>
          <t>Lost Both Times (Deficit)</t>
        </is>
      </c>
      <c r="E62" s="24" t="n">
        <v>132</v>
      </c>
      <c r="F62" s="25">
        <f>132/642</f>
        <v/>
      </c>
      <c r="G62" s="26" t="inlineStr">
        <is>
          <t>SAD</t>
        </is>
      </c>
      <c r="H62" s="24" t="n">
        <v>146</v>
      </c>
      <c r="I62" s="25">
        <f>146/531</f>
        <v/>
      </c>
      <c r="J62" s="26" t="inlineStr">
        <is>
          <t>SAD</t>
        </is>
      </c>
      <c r="K62" s="24" t="n">
        <v>14</v>
      </c>
      <c r="L62" s="27">
        <f>I62-F62</f>
        <v/>
      </c>
      <c r="M62" s="24" t="n">
        <v>89</v>
      </c>
      <c r="N62" s="24" t="n">
        <v>531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35" t="inlineStr">
        <is>
          <t>Gained in 2024 (New Win)</t>
        </is>
      </c>
      <c r="E63" s="31" t="n">
        <v>115</v>
      </c>
      <c r="F63" s="32">
        <f>115/405</f>
        <v/>
      </c>
      <c r="G63" s="33" t="inlineStr">
        <is>
          <t>SAD</t>
        </is>
      </c>
      <c r="H63" s="31" t="n">
        <v>123</v>
      </c>
      <c r="I63" s="32">
        <f>123/394</f>
        <v/>
      </c>
      <c r="J63" s="33" t="inlineStr">
        <is>
          <t>INC</t>
        </is>
      </c>
      <c r="K63" s="31" t="n">
        <v>8</v>
      </c>
      <c r="L63" s="34">
        <f>I63-F63</f>
        <v/>
      </c>
      <c r="M63" s="31" t="n">
        <v>12</v>
      </c>
      <c r="N63" s="31" t="n">
        <v>394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37" t="inlineStr">
        <is>
          <t>Lost in 2024 (to BJP)</t>
        </is>
      </c>
      <c r="E64" s="24" t="n">
        <v>238</v>
      </c>
      <c r="F64" s="25">
        <f>238/573</f>
        <v/>
      </c>
      <c r="G64" s="26" t="inlineStr">
        <is>
          <t>INC</t>
        </is>
      </c>
      <c r="H64" s="24" t="n">
        <v>70</v>
      </c>
      <c r="I64" s="25">
        <f>70/483</f>
        <v/>
      </c>
      <c r="J64" s="26" t="inlineStr">
        <is>
          <t>BJP</t>
        </is>
      </c>
      <c r="K64" s="24" t="n">
        <v>-168</v>
      </c>
      <c r="L64" s="27">
        <f>I64-F64</f>
        <v/>
      </c>
      <c r="M64" s="24" t="n">
        <v>73</v>
      </c>
      <c r="N64" s="24" t="n">
        <v>483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30" t="inlineStr">
        <is>
          <t>Lost Both Times (Deficit)</t>
        </is>
      </c>
      <c r="E65" s="31" t="n">
        <v>206</v>
      </c>
      <c r="F65" s="32">
        <f>206/696</f>
        <v/>
      </c>
      <c r="G65" s="33" t="inlineStr">
        <is>
          <t>SAD</t>
        </is>
      </c>
      <c r="H65" s="31" t="n">
        <v>177</v>
      </c>
      <c r="I65" s="32">
        <f>177/606</f>
        <v/>
      </c>
      <c r="J65" s="33" t="inlineStr">
        <is>
          <t>AAP</t>
        </is>
      </c>
      <c r="K65" s="31" t="n">
        <v>-29</v>
      </c>
      <c r="L65" s="34">
        <f>I65-F65</f>
        <v/>
      </c>
      <c r="M65" s="31" t="n">
        <v>14</v>
      </c>
      <c r="N65" s="31" t="n">
        <v>606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37" t="inlineStr">
        <is>
          <t>Lost in 2024 (to AAP)</t>
        </is>
      </c>
      <c r="E66" s="24" t="n">
        <v>205</v>
      </c>
      <c r="F66" s="25">
        <f>205/508</f>
        <v/>
      </c>
      <c r="G66" s="26" t="inlineStr">
        <is>
          <t>INC</t>
        </is>
      </c>
      <c r="H66" s="24" t="n">
        <v>173</v>
      </c>
      <c r="I66" s="25">
        <f>173/450</f>
        <v/>
      </c>
      <c r="J66" s="26" t="inlineStr">
        <is>
          <t>AAP</t>
        </is>
      </c>
      <c r="K66" s="24" t="n">
        <v>-32</v>
      </c>
      <c r="L66" s="27">
        <f>I66-F66</f>
        <v/>
      </c>
      <c r="M66" s="24" t="n">
        <v>15</v>
      </c>
      <c r="N66" s="24" t="n">
        <v>450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35" t="inlineStr">
        <is>
          <t>Gained in 2024 (New Win)</t>
        </is>
      </c>
      <c r="E67" s="31" t="n">
        <v>148</v>
      </c>
      <c r="F67" s="32">
        <f>148/601</f>
        <v/>
      </c>
      <c r="G67" s="33" t="inlineStr">
        <is>
          <t>SAD</t>
        </is>
      </c>
      <c r="H67" s="31" t="n">
        <v>205</v>
      </c>
      <c r="I67" s="32">
        <f>205/551</f>
        <v/>
      </c>
      <c r="J67" s="33" t="inlineStr">
        <is>
          <t>INC</t>
        </is>
      </c>
      <c r="K67" s="31" t="n">
        <v>57</v>
      </c>
      <c r="L67" s="34">
        <f>I67-F67</f>
        <v/>
      </c>
      <c r="M67" s="31" t="n">
        <v>47</v>
      </c>
      <c r="N67" s="31" t="n">
        <v>551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35" t="inlineStr">
        <is>
          <t>Gained in 2024 (New Win)</t>
        </is>
      </c>
      <c r="E68" s="24" t="n">
        <v>221</v>
      </c>
      <c r="F68" s="25">
        <f>221/676</f>
        <v/>
      </c>
      <c r="G68" s="26" t="inlineStr">
        <is>
          <t>SAD</t>
        </is>
      </c>
      <c r="H68" s="24" t="n">
        <v>196</v>
      </c>
      <c r="I68" s="25">
        <f>196/495</f>
        <v/>
      </c>
      <c r="J68" s="26" t="inlineStr">
        <is>
          <t>INC</t>
        </is>
      </c>
      <c r="K68" s="24" t="n">
        <v>-25</v>
      </c>
      <c r="L68" s="27">
        <f>I68-F68</f>
        <v/>
      </c>
      <c r="M68" s="24" t="n">
        <v>115</v>
      </c>
      <c r="N68" s="24" t="n">
        <v>495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37" t="inlineStr">
        <is>
          <t>Lost in 2024 (to AAP)</t>
        </is>
      </c>
      <c r="E69" s="31" t="n">
        <v>176</v>
      </c>
      <c r="F69" s="32">
        <f>176/492</f>
        <v/>
      </c>
      <c r="G69" s="33" t="inlineStr">
        <is>
          <t>INC</t>
        </is>
      </c>
      <c r="H69" s="31" t="n">
        <v>50</v>
      </c>
      <c r="I69" s="32">
        <f>50/407</f>
        <v/>
      </c>
      <c r="J69" s="33" t="inlineStr">
        <is>
          <t>AAP</t>
        </is>
      </c>
      <c r="K69" s="31" t="n">
        <v>-126</v>
      </c>
      <c r="L69" s="34">
        <f>I69-F69</f>
        <v/>
      </c>
      <c r="M69" s="31" t="n">
        <v>156</v>
      </c>
      <c r="N69" s="31" t="n">
        <v>407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30" t="inlineStr">
        <is>
          <t>Lost Both Times (Deficit)</t>
        </is>
      </c>
      <c r="E70" s="24" t="n">
        <v>176</v>
      </c>
      <c r="F70" s="25">
        <f>176/426</f>
        <v/>
      </c>
      <c r="G70" s="26" t="inlineStr">
        <is>
          <t>SAD</t>
        </is>
      </c>
      <c r="H70" s="24" t="n">
        <v>93</v>
      </c>
      <c r="I70" s="25">
        <f>93/376</f>
        <v/>
      </c>
      <c r="J70" s="26" t="inlineStr">
        <is>
          <t>BJP</t>
        </is>
      </c>
      <c r="K70" s="24" t="n">
        <v>-83</v>
      </c>
      <c r="L70" s="27">
        <f>I70-F70</f>
        <v/>
      </c>
      <c r="M70" s="24" t="n">
        <v>6</v>
      </c>
      <c r="N70" s="24" t="n">
        <v>376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23" t="inlineStr">
        <is>
          <t>Won Both Times (Stronghold)</t>
        </is>
      </c>
      <c r="E71" s="31" t="n">
        <v>264</v>
      </c>
      <c r="F71" s="32">
        <f>264/521</f>
        <v/>
      </c>
      <c r="G71" s="33" t="inlineStr">
        <is>
          <t>INC</t>
        </is>
      </c>
      <c r="H71" s="31" t="n">
        <v>279</v>
      </c>
      <c r="I71" s="32">
        <f>279/523</f>
        <v/>
      </c>
      <c r="J71" s="33" t="inlineStr">
        <is>
          <t>INC</t>
        </is>
      </c>
      <c r="K71" s="31" t="n">
        <v>15</v>
      </c>
      <c r="L71" s="34">
        <f>I71-F71</f>
        <v/>
      </c>
      <c r="M71" s="31" t="n">
        <v>154</v>
      </c>
      <c r="N71" s="31" t="n">
        <v>523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36" t="inlineStr">
        <is>
          <t>Weak Booth (&lt; 20% Share)</t>
        </is>
      </c>
      <c r="E72" s="24" t="n">
        <v>143</v>
      </c>
      <c r="F72" s="25">
        <f>143/449</f>
        <v/>
      </c>
      <c r="G72" s="26" t="inlineStr">
        <is>
          <t>AAP</t>
        </is>
      </c>
      <c r="H72" s="24" t="n">
        <v>67</v>
      </c>
      <c r="I72" s="25">
        <f>67/457</f>
        <v/>
      </c>
      <c r="J72" s="26" t="inlineStr">
        <is>
          <t>BJP</t>
        </is>
      </c>
      <c r="K72" s="24" t="n">
        <v>-76</v>
      </c>
      <c r="L72" s="27">
        <f>I72-F72</f>
        <v/>
      </c>
      <c r="M72" s="24" t="n">
        <v>9</v>
      </c>
      <c r="N72" s="24" t="n">
        <v>457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35" t="inlineStr">
        <is>
          <t>Gained in 2024 (New Win)</t>
        </is>
      </c>
      <c r="E73" s="31" t="n">
        <v>169</v>
      </c>
      <c r="F73" s="32">
        <f>169/653</f>
        <v/>
      </c>
      <c r="G73" s="33" t="inlineStr">
        <is>
          <t>SAD</t>
        </is>
      </c>
      <c r="H73" s="31" t="n">
        <v>206</v>
      </c>
      <c r="I73" s="32">
        <f>206/598</f>
        <v/>
      </c>
      <c r="J73" s="33" t="inlineStr">
        <is>
          <t>INC</t>
        </is>
      </c>
      <c r="K73" s="31" t="n">
        <v>37</v>
      </c>
      <c r="L73" s="34">
        <f>I73-F73</f>
        <v/>
      </c>
      <c r="M73" s="31" t="n">
        <v>57</v>
      </c>
      <c r="N73" s="31" t="n">
        <v>598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23" t="inlineStr">
        <is>
          <t>Won Both Times (Stronghold)</t>
        </is>
      </c>
      <c r="E74" s="24" t="n">
        <v>295</v>
      </c>
      <c r="F74" s="25">
        <f>295/758</f>
        <v/>
      </c>
      <c r="G74" s="26" t="inlineStr">
        <is>
          <t>INC</t>
        </is>
      </c>
      <c r="H74" s="24" t="n">
        <v>304</v>
      </c>
      <c r="I74" s="25">
        <f>304/659</f>
        <v/>
      </c>
      <c r="J74" s="26" t="inlineStr">
        <is>
          <t>INC</t>
        </is>
      </c>
      <c r="K74" s="24" t="n">
        <v>9</v>
      </c>
      <c r="L74" s="27">
        <f>I74-F74</f>
        <v/>
      </c>
      <c r="M74" s="24" t="n">
        <v>106</v>
      </c>
      <c r="N74" s="24" t="n">
        <v>659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37" t="inlineStr">
        <is>
          <t>Lost in 2024 (to SAD)</t>
        </is>
      </c>
      <c r="E75" s="31" t="n">
        <v>188</v>
      </c>
      <c r="F75" s="32">
        <f>188/429</f>
        <v/>
      </c>
      <c r="G75" s="33" t="inlineStr">
        <is>
          <t>INC</t>
        </is>
      </c>
      <c r="H75" s="31" t="n">
        <v>141</v>
      </c>
      <c r="I75" s="32">
        <f>141/404</f>
        <v/>
      </c>
      <c r="J75" s="33" t="inlineStr">
        <is>
          <t>SAD</t>
        </is>
      </c>
      <c r="K75" s="31" t="n">
        <v>-47</v>
      </c>
      <c r="L75" s="34">
        <f>I75-F75</f>
        <v/>
      </c>
      <c r="M75" s="31" t="n">
        <v>2</v>
      </c>
      <c r="N75" s="31" t="n">
        <v>404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30" t="inlineStr">
        <is>
          <t>Lost Both Times (Deficit)</t>
        </is>
      </c>
      <c r="E76" s="24" t="n">
        <v>116</v>
      </c>
      <c r="F76" s="25">
        <f>116/430</f>
        <v/>
      </c>
      <c r="G76" s="26" t="inlineStr">
        <is>
          <t>SAD</t>
        </is>
      </c>
      <c r="H76" s="24" t="n">
        <v>106</v>
      </c>
      <c r="I76" s="25">
        <f>106/431</f>
        <v/>
      </c>
      <c r="J76" s="26" t="inlineStr">
        <is>
          <t>AAP</t>
        </is>
      </c>
      <c r="K76" s="24" t="n">
        <v>-10</v>
      </c>
      <c r="L76" s="27">
        <f>I76-F76</f>
        <v/>
      </c>
      <c r="M76" s="24" t="n">
        <v>55</v>
      </c>
      <c r="N76" s="24" t="n">
        <v>431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23" t="inlineStr">
        <is>
          <t>Won Both Times (Stronghold)</t>
        </is>
      </c>
      <c r="E77" s="31" t="n">
        <v>271</v>
      </c>
      <c r="F77" s="32">
        <f>271/681</f>
        <v/>
      </c>
      <c r="G77" s="33" t="inlineStr">
        <is>
          <t>INC</t>
        </is>
      </c>
      <c r="H77" s="31" t="n">
        <v>232</v>
      </c>
      <c r="I77" s="32">
        <f>232/543</f>
        <v/>
      </c>
      <c r="J77" s="33" t="inlineStr">
        <is>
          <t>INC</t>
        </is>
      </c>
      <c r="K77" s="31" t="n">
        <v>-39</v>
      </c>
      <c r="L77" s="34">
        <f>I77-F77</f>
        <v/>
      </c>
      <c r="M77" s="31" t="n">
        <v>86</v>
      </c>
      <c r="N77" s="31" t="n">
        <v>543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23" t="inlineStr">
        <is>
          <t>Won Both Times (Stronghold)</t>
        </is>
      </c>
      <c r="E78" s="24" t="n">
        <v>357</v>
      </c>
      <c r="F78" s="25">
        <f>357/676</f>
        <v/>
      </c>
      <c r="G78" s="26" t="inlineStr">
        <is>
          <t>INC</t>
        </is>
      </c>
      <c r="H78" s="24" t="n">
        <v>264</v>
      </c>
      <c r="I78" s="25">
        <f>264/504</f>
        <v/>
      </c>
      <c r="J78" s="26" t="inlineStr">
        <is>
          <t>INC</t>
        </is>
      </c>
      <c r="K78" s="24" t="n">
        <v>-93</v>
      </c>
      <c r="L78" s="27">
        <f>I78-F78</f>
        <v/>
      </c>
      <c r="M78" s="24" t="n">
        <v>130</v>
      </c>
      <c r="N78" s="24" t="n">
        <v>504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30" t="inlineStr">
        <is>
          <t>Lost Both Times (Deficit)</t>
        </is>
      </c>
      <c r="E79" s="31" t="n">
        <v>171</v>
      </c>
      <c r="F79" s="32">
        <f>171/660</f>
        <v/>
      </c>
      <c r="G79" s="33" t="inlineStr">
        <is>
          <t>AAP</t>
        </is>
      </c>
      <c r="H79" s="31" t="n">
        <v>187</v>
      </c>
      <c r="I79" s="32">
        <f>187/594</f>
        <v/>
      </c>
      <c r="J79" s="33" t="inlineStr">
        <is>
          <t>AAP</t>
        </is>
      </c>
      <c r="K79" s="31" t="n">
        <v>16</v>
      </c>
      <c r="L79" s="34">
        <f>I79-F79</f>
        <v/>
      </c>
      <c r="M79" s="31" t="n">
        <v>126</v>
      </c>
      <c r="N79" s="31" t="n">
        <v>594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23" t="inlineStr">
        <is>
          <t>Won Both Times (Stronghold)</t>
        </is>
      </c>
      <c r="E80" s="24" t="n">
        <v>307</v>
      </c>
      <c r="F80" s="25">
        <f>307/872</f>
        <v/>
      </c>
      <c r="G80" s="26" t="inlineStr">
        <is>
          <t>INC</t>
        </is>
      </c>
      <c r="H80" s="24" t="n">
        <v>219</v>
      </c>
      <c r="I80" s="25">
        <f>219/727</f>
        <v/>
      </c>
      <c r="J80" s="26" t="inlineStr">
        <is>
          <t>INC</t>
        </is>
      </c>
      <c r="K80" s="24" t="n">
        <v>-88</v>
      </c>
      <c r="L80" s="27">
        <f>I80-F80</f>
        <v/>
      </c>
      <c r="M80" s="24" t="n">
        <v>19</v>
      </c>
      <c r="N80" s="24" t="n">
        <v>727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37" t="inlineStr">
        <is>
          <t>Lost in 2024 (to AAP)</t>
        </is>
      </c>
      <c r="E81" s="31" t="n">
        <v>389</v>
      </c>
      <c r="F81" s="32">
        <f>389/848</f>
        <v/>
      </c>
      <c r="G81" s="33" t="inlineStr">
        <is>
          <t>INC</t>
        </is>
      </c>
      <c r="H81" s="31" t="n">
        <v>195</v>
      </c>
      <c r="I81" s="32">
        <f>195/703</f>
        <v/>
      </c>
      <c r="J81" s="33" t="inlineStr">
        <is>
          <t>AAP</t>
        </is>
      </c>
      <c r="K81" s="31" t="n">
        <v>-194</v>
      </c>
      <c r="L81" s="34">
        <f>I81-F81</f>
        <v/>
      </c>
      <c r="M81" s="31" t="n">
        <v>55</v>
      </c>
      <c r="N81" s="31" t="n">
        <v>703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23" t="inlineStr">
        <is>
          <t>Won Both Times (Stronghold)</t>
        </is>
      </c>
      <c r="E82" s="24" t="n">
        <v>438</v>
      </c>
      <c r="F82" s="25">
        <f>438/772</f>
        <v/>
      </c>
      <c r="G82" s="26" t="inlineStr">
        <is>
          <t>INC</t>
        </is>
      </c>
      <c r="H82" s="24" t="n">
        <v>358</v>
      </c>
      <c r="I82" s="25">
        <f>358/710</f>
        <v/>
      </c>
      <c r="J82" s="26" t="inlineStr">
        <is>
          <t>INC</t>
        </is>
      </c>
      <c r="K82" s="24" t="n">
        <v>-80</v>
      </c>
      <c r="L82" s="27">
        <f>I82-F82</f>
        <v/>
      </c>
      <c r="M82" s="24" t="n">
        <v>217</v>
      </c>
      <c r="N82" s="24" t="n">
        <v>710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36" t="inlineStr">
        <is>
          <t>Weak Booth (&lt; 20% Share)</t>
        </is>
      </c>
      <c r="E83" s="31" t="n">
        <v>105</v>
      </c>
      <c r="F83" s="32">
        <f>105/400</f>
        <v/>
      </c>
      <c r="G83" s="33" t="inlineStr">
        <is>
          <t>AAP</t>
        </is>
      </c>
      <c r="H83" s="31" t="n">
        <v>58</v>
      </c>
      <c r="I83" s="32">
        <f>58/374</f>
        <v/>
      </c>
      <c r="J83" s="33" t="inlineStr">
        <is>
          <t>AAP</t>
        </is>
      </c>
      <c r="K83" s="31" t="n">
        <v>-47</v>
      </c>
      <c r="L83" s="34">
        <f>I83-F83</f>
        <v/>
      </c>
      <c r="M83" s="31" t="n">
        <v>60</v>
      </c>
      <c r="N83" s="31" t="n">
        <v>374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23" t="inlineStr">
        <is>
          <t>Won Both Times (Stronghold)</t>
        </is>
      </c>
      <c r="E84" s="24" t="n">
        <v>317</v>
      </c>
      <c r="F84" s="25">
        <f>317/691</f>
        <v/>
      </c>
      <c r="G84" s="26" t="inlineStr">
        <is>
          <t>INC</t>
        </is>
      </c>
      <c r="H84" s="24" t="n">
        <v>197</v>
      </c>
      <c r="I84" s="25">
        <f>197/586</f>
        <v/>
      </c>
      <c r="J84" s="26" t="inlineStr">
        <is>
          <t>INC</t>
        </is>
      </c>
      <c r="K84" s="24" t="n">
        <v>-120</v>
      </c>
      <c r="L84" s="27">
        <f>I84-F84</f>
        <v/>
      </c>
      <c r="M84" s="24" t="n">
        <v>4</v>
      </c>
      <c r="N84" s="24" t="n">
        <v>586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35" t="inlineStr">
        <is>
          <t>Gained in 2024 (New Win)</t>
        </is>
      </c>
      <c r="E85" s="31" t="n">
        <v>166</v>
      </c>
      <c r="F85" s="32">
        <f>166/465</f>
        <v/>
      </c>
      <c r="G85" s="33" t="inlineStr">
        <is>
          <t>AAP</t>
        </is>
      </c>
      <c r="H85" s="31" t="n">
        <v>141</v>
      </c>
      <c r="I85" s="32">
        <f>141/385</f>
        <v/>
      </c>
      <c r="J85" s="33" t="inlineStr">
        <is>
          <t>INC</t>
        </is>
      </c>
      <c r="K85" s="31" t="n">
        <v>-25</v>
      </c>
      <c r="L85" s="34">
        <f>I85-F85</f>
        <v/>
      </c>
      <c r="M85" s="31" t="n">
        <v>16</v>
      </c>
      <c r="N85" s="31" t="n">
        <v>385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35" t="inlineStr">
        <is>
          <t>Gained in 2024 (New Win)</t>
        </is>
      </c>
      <c r="E86" s="24" t="n">
        <v>132</v>
      </c>
      <c r="F86" s="25">
        <f>132/512</f>
        <v/>
      </c>
      <c r="G86" s="26" t="inlineStr">
        <is>
          <t>AAP</t>
        </is>
      </c>
      <c r="H86" s="24" t="n">
        <v>148</v>
      </c>
      <c r="I86" s="25">
        <f>148/441</f>
        <v/>
      </c>
      <c r="J86" s="26" t="inlineStr">
        <is>
          <t>INC</t>
        </is>
      </c>
      <c r="K86" s="24" t="n">
        <v>16</v>
      </c>
      <c r="L86" s="27">
        <f>I86-F86</f>
        <v/>
      </c>
      <c r="M86" s="24" t="n">
        <v>37</v>
      </c>
      <c r="N86" s="24" t="n">
        <v>441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35" t="inlineStr">
        <is>
          <t>Gained in 2024 (New Win)</t>
        </is>
      </c>
      <c r="E87" s="31" t="n">
        <v>106</v>
      </c>
      <c r="F87" s="32">
        <f>106/442</f>
        <v/>
      </c>
      <c r="G87" s="33" t="inlineStr">
        <is>
          <t>AAP</t>
        </is>
      </c>
      <c r="H87" s="31" t="n">
        <v>133</v>
      </c>
      <c r="I87" s="32">
        <f>133/363</f>
        <v/>
      </c>
      <c r="J87" s="33" t="inlineStr">
        <is>
          <t>INC</t>
        </is>
      </c>
      <c r="K87" s="31" t="n">
        <v>27</v>
      </c>
      <c r="L87" s="34">
        <f>I87-F87</f>
        <v/>
      </c>
      <c r="M87" s="31" t="n">
        <v>25</v>
      </c>
      <c r="N87" s="31" t="n">
        <v>363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37" t="inlineStr">
        <is>
          <t>Lost in 2024 (to AAP)</t>
        </is>
      </c>
      <c r="E88" s="24" t="n">
        <v>285</v>
      </c>
      <c r="F88" s="25">
        <f>285/640</f>
        <v/>
      </c>
      <c r="G88" s="26" t="inlineStr">
        <is>
          <t>INC</t>
        </is>
      </c>
      <c r="H88" s="24" t="n">
        <v>36</v>
      </c>
      <c r="I88" s="25">
        <f>36/561</f>
        <v/>
      </c>
      <c r="J88" s="26" t="inlineStr">
        <is>
          <t>AAP</t>
        </is>
      </c>
      <c r="K88" s="24" t="n">
        <v>-249</v>
      </c>
      <c r="L88" s="27">
        <f>I88-F88</f>
        <v/>
      </c>
      <c r="M88" s="24" t="n">
        <v>295</v>
      </c>
      <c r="N88" s="24" t="n">
        <v>561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30" t="inlineStr">
        <is>
          <t>Lost Both Times (Deficit)</t>
        </is>
      </c>
      <c r="E89" s="31" t="n">
        <v>238</v>
      </c>
      <c r="F89" s="32">
        <f>238/763</f>
        <v/>
      </c>
      <c r="G89" s="33" t="inlineStr">
        <is>
          <t>AAP</t>
        </is>
      </c>
      <c r="H89" s="31" t="n">
        <v>231</v>
      </c>
      <c r="I89" s="32">
        <f>231/712</f>
        <v/>
      </c>
      <c r="J89" s="33" t="inlineStr">
        <is>
          <t>AAP</t>
        </is>
      </c>
      <c r="K89" s="31" t="n">
        <v>-7</v>
      </c>
      <c r="L89" s="34">
        <f>I89-F89</f>
        <v/>
      </c>
      <c r="M89" s="31" t="n">
        <v>73</v>
      </c>
      <c r="N89" s="31" t="n">
        <v>712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37" t="inlineStr">
        <is>
          <t>Lost in 2024 (to AAP)</t>
        </is>
      </c>
      <c r="E90" s="24" t="n">
        <v>192</v>
      </c>
      <c r="F90" s="25">
        <f>192/540</f>
        <v/>
      </c>
      <c r="G90" s="26" t="inlineStr">
        <is>
          <t>INC</t>
        </is>
      </c>
      <c r="H90" s="24" t="n">
        <v>123</v>
      </c>
      <c r="I90" s="25">
        <f>123/497</f>
        <v/>
      </c>
      <c r="J90" s="26" t="inlineStr">
        <is>
          <t>AAP</t>
        </is>
      </c>
      <c r="K90" s="24" t="n">
        <v>-69</v>
      </c>
      <c r="L90" s="27">
        <f>I90-F90</f>
        <v/>
      </c>
      <c r="M90" s="24" t="n">
        <v>16</v>
      </c>
      <c r="N90" s="24" t="n">
        <v>497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30" t="inlineStr">
        <is>
          <t>Lost Both Times (Deficit)</t>
        </is>
      </c>
      <c r="E91" s="31" t="n">
        <v>145</v>
      </c>
      <c r="F91" s="32">
        <f>145/470</f>
        <v/>
      </c>
      <c r="G91" s="33" t="inlineStr">
        <is>
          <t>SAD</t>
        </is>
      </c>
      <c r="H91" s="31" t="n">
        <v>102</v>
      </c>
      <c r="I91" s="32">
        <f>102/398</f>
        <v/>
      </c>
      <c r="J91" s="33" t="inlineStr">
        <is>
          <t>AAP</t>
        </is>
      </c>
      <c r="K91" s="31" t="n">
        <v>-43</v>
      </c>
      <c r="L91" s="34">
        <f>I91-F91</f>
        <v/>
      </c>
      <c r="M91" s="31" t="n">
        <v>33</v>
      </c>
      <c r="N91" s="31" t="n">
        <v>398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35" t="inlineStr">
        <is>
          <t>Gained in 2024 (New Win)</t>
        </is>
      </c>
      <c r="E92" s="24" t="n">
        <v>142</v>
      </c>
      <c r="F92" s="25">
        <f>142/882</f>
        <v/>
      </c>
      <c r="G92" s="26" t="inlineStr">
        <is>
          <t>SAD</t>
        </is>
      </c>
      <c r="H92" s="24" t="n">
        <v>229</v>
      </c>
      <c r="I92" s="25">
        <f>229/643</f>
        <v/>
      </c>
      <c r="J92" s="26" t="inlineStr">
        <is>
          <t>INC</t>
        </is>
      </c>
      <c r="K92" s="24" t="n">
        <v>87</v>
      </c>
      <c r="L92" s="27">
        <f>I92-F92</f>
        <v/>
      </c>
      <c r="M92" s="24" t="n">
        <v>98</v>
      </c>
      <c r="N92" s="24" t="n">
        <v>643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30" t="inlineStr">
        <is>
          <t>Lost Both Times (Deficit)</t>
        </is>
      </c>
      <c r="E93" s="31" t="n">
        <v>143</v>
      </c>
      <c r="F93" s="32">
        <f>143/574</f>
        <v/>
      </c>
      <c r="G93" s="33" t="inlineStr">
        <is>
          <t>SAD</t>
        </is>
      </c>
      <c r="H93" s="31" t="n">
        <v>148</v>
      </c>
      <c r="I93" s="32">
        <f>148/450</f>
        <v/>
      </c>
      <c r="J93" s="33" t="inlineStr">
        <is>
          <t>AAP</t>
        </is>
      </c>
      <c r="K93" s="31" t="n">
        <v>5</v>
      </c>
      <c r="L93" s="34">
        <f>I93-F93</f>
        <v/>
      </c>
      <c r="M93" s="31" t="n">
        <v>22</v>
      </c>
      <c r="N93" s="31" t="n">
        <v>450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30" t="inlineStr">
        <is>
          <t>Lost Both Times (Deficit)</t>
        </is>
      </c>
      <c r="E94" s="24" t="n">
        <v>184</v>
      </c>
      <c r="F94" s="25">
        <f>184/663</f>
        <v/>
      </c>
      <c r="G94" s="26" t="inlineStr">
        <is>
          <t>AAP</t>
        </is>
      </c>
      <c r="H94" s="24" t="n">
        <v>139</v>
      </c>
      <c r="I94" s="25">
        <f>139/514</f>
        <v/>
      </c>
      <c r="J94" s="26" t="inlineStr">
        <is>
          <t>AAP</t>
        </is>
      </c>
      <c r="K94" s="24" t="n">
        <v>-45</v>
      </c>
      <c r="L94" s="27">
        <f>I94-F94</f>
        <v/>
      </c>
      <c r="M94" s="24" t="n">
        <v>74</v>
      </c>
      <c r="N94" s="24" t="n">
        <v>514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30" t="inlineStr">
        <is>
          <t>Lost Both Times (Deficit)</t>
        </is>
      </c>
      <c r="E95" s="31" t="n">
        <v>186</v>
      </c>
      <c r="F95" s="32">
        <f>186/760</f>
        <v/>
      </c>
      <c r="G95" s="33" t="inlineStr">
        <is>
          <t>SAD</t>
        </is>
      </c>
      <c r="H95" s="31" t="n">
        <v>157</v>
      </c>
      <c r="I95" s="32">
        <f>157/661</f>
        <v/>
      </c>
      <c r="J95" s="33" t="inlineStr">
        <is>
          <t>AAP</t>
        </is>
      </c>
      <c r="K95" s="31" t="n">
        <v>-29</v>
      </c>
      <c r="L95" s="34">
        <f>I95-F95</f>
        <v/>
      </c>
      <c r="M95" s="31" t="n">
        <v>92</v>
      </c>
      <c r="N95" s="31" t="n">
        <v>661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35" t="inlineStr">
        <is>
          <t>Gained in 2024 (New Win)</t>
        </is>
      </c>
      <c r="E96" s="24" t="n">
        <v>176</v>
      </c>
      <c r="F96" s="25">
        <f>176/666</f>
        <v/>
      </c>
      <c r="G96" s="26" t="inlineStr">
        <is>
          <t>AAP</t>
        </is>
      </c>
      <c r="H96" s="24" t="n">
        <v>264</v>
      </c>
      <c r="I96" s="25">
        <f>264/577</f>
        <v/>
      </c>
      <c r="J96" s="26" t="inlineStr">
        <is>
          <t>INC</t>
        </is>
      </c>
      <c r="K96" s="24" t="n">
        <v>88</v>
      </c>
      <c r="L96" s="27">
        <f>I96-F96</f>
        <v/>
      </c>
      <c r="M96" s="24" t="n">
        <v>154</v>
      </c>
      <c r="N96" s="24" t="n">
        <v>577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30" t="inlineStr">
        <is>
          <t>Lost Both Times (Deficit)</t>
        </is>
      </c>
      <c r="E97" s="31" t="n">
        <v>161</v>
      </c>
      <c r="F97" s="32">
        <f>161/472</f>
        <v/>
      </c>
      <c r="G97" s="33" t="inlineStr">
        <is>
          <t>SAD</t>
        </is>
      </c>
      <c r="H97" s="31" t="n">
        <v>112</v>
      </c>
      <c r="I97" s="32">
        <f>112/400</f>
        <v/>
      </c>
      <c r="J97" s="33" t="inlineStr">
        <is>
          <t>AAP</t>
        </is>
      </c>
      <c r="K97" s="31" t="n">
        <v>-49</v>
      </c>
      <c r="L97" s="34">
        <f>I97-F97</f>
        <v/>
      </c>
      <c r="M97" s="31" t="n">
        <v>39</v>
      </c>
      <c r="N97" s="31" t="n">
        <v>400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36" t="inlineStr">
        <is>
          <t>Weak Booth (&lt; 20% Share)</t>
        </is>
      </c>
      <c r="E98" s="24" t="n">
        <v>203</v>
      </c>
      <c r="F98" s="25">
        <f>203/740</f>
        <v/>
      </c>
      <c r="G98" s="26" t="inlineStr">
        <is>
          <t>SAD</t>
        </is>
      </c>
      <c r="H98" s="24" t="n">
        <v>121</v>
      </c>
      <c r="I98" s="25">
        <f>121/664</f>
        <v/>
      </c>
      <c r="J98" s="26" t="inlineStr">
        <is>
          <t>SAD</t>
        </is>
      </c>
      <c r="K98" s="24" t="n">
        <v>-82</v>
      </c>
      <c r="L98" s="27">
        <f>I98-F98</f>
        <v/>
      </c>
      <c r="M98" s="24" t="n">
        <v>7</v>
      </c>
      <c r="N98" s="24" t="n">
        <v>664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36" t="inlineStr">
        <is>
          <t>Weak Booth (&lt; 20% Share)</t>
        </is>
      </c>
      <c r="E99" s="31" t="n">
        <v>140</v>
      </c>
      <c r="F99" s="32">
        <f>140/467</f>
        <v/>
      </c>
      <c r="G99" s="33" t="inlineStr">
        <is>
          <t>SAD</t>
        </is>
      </c>
      <c r="H99" s="31" t="n">
        <v>53</v>
      </c>
      <c r="I99" s="32">
        <f>53/399</f>
        <v/>
      </c>
      <c r="J99" s="33" t="inlineStr">
        <is>
          <t>SAD</t>
        </is>
      </c>
      <c r="K99" s="31" t="n">
        <v>-87</v>
      </c>
      <c r="L99" s="34">
        <f>I99-F99</f>
        <v/>
      </c>
      <c r="M99" s="31" t="n">
        <v>54</v>
      </c>
      <c r="N99" s="31" t="n">
        <v>399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23" t="inlineStr">
        <is>
          <t>Won Both Times (Stronghold)</t>
        </is>
      </c>
      <c r="E100" s="24" t="n">
        <v>253</v>
      </c>
      <c r="F100" s="25">
        <f>253/429</f>
        <v/>
      </c>
      <c r="G100" s="26" t="inlineStr">
        <is>
          <t>INC</t>
        </is>
      </c>
      <c r="H100" s="24" t="n">
        <v>170</v>
      </c>
      <c r="I100" s="25">
        <f>170/364</f>
        <v/>
      </c>
      <c r="J100" s="26" t="inlineStr">
        <is>
          <t>INC</t>
        </is>
      </c>
      <c r="K100" s="24" t="n">
        <v>-83</v>
      </c>
      <c r="L100" s="27">
        <f>I100-F100</f>
        <v/>
      </c>
      <c r="M100" s="24" t="n">
        <v>39</v>
      </c>
      <c r="N100" s="24" t="n">
        <v>364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35" t="inlineStr">
        <is>
          <t>Gained in 2024 (New Win)</t>
        </is>
      </c>
      <c r="E101" s="31" t="n">
        <v>251</v>
      </c>
      <c r="F101" s="32">
        <f>251/723</f>
        <v/>
      </c>
      <c r="G101" s="33" t="inlineStr">
        <is>
          <t>SAD</t>
        </is>
      </c>
      <c r="H101" s="31" t="n">
        <v>225</v>
      </c>
      <c r="I101" s="32">
        <f>225/632</f>
        <v/>
      </c>
      <c r="J101" s="33" t="inlineStr">
        <is>
          <t>INC</t>
        </is>
      </c>
      <c r="K101" s="31" t="n">
        <v>-26</v>
      </c>
      <c r="L101" s="34">
        <f>I101-F101</f>
        <v/>
      </c>
      <c r="M101" s="31" t="n">
        <v>58</v>
      </c>
      <c r="N101" s="31" t="n">
        <v>632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35" t="inlineStr">
        <is>
          <t>Gained in 2024 (New Win)</t>
        </is>
      </c>
      <c r="E102" s="24" t="n">
        <v>198</v>
      </c>
      <c r="F102" s="25">
        <f>198/648</f>
        <v/>
      </c>
      <c r="G102" s="26" t="inlineStr">
        <is>
          <t>AAP</t>
        </is>
      </c>
      <c r="H102" s="24" t="n">
        <v>199</v>
      </c>
      <c r="I102" s="25">
        <f>199/541</f>
        <v/>
      </c>
      <c r="J102" s="26" t="inlineStr">
        <is>
          <t>INC</t>
        </is>
      </c>
      <c r="K102" s="24" t="n">
        <v>1</v>
      </c>
      <c r="L102" s="27">
        <f>I102-F102</f>
        <v/>
      </c>
      <c r="M102" s="24" t="n">
        <v>44</v>
      </c>
      <c r="N102" s="24" t="n">
        <v>541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37" t="inlineStr">
        <is>
          <t>Lost in 2024 (to AAP)</t>
        </is>
      </c>
      <c r="E103" s="31" t="n">
        <v>220</v>
      </c>
      <c r="F103" s="32">
        <f>220/537</f>
        <v/>
      </c>
      <c r="G103" s="33" t="inlineStr">
        <is>
          <t>INC</t>
        </is>
      </c>
      <c r="H103" s="31" t="n">
        <v>90</v>
      </c>
      <c r="I103" s="32">
        <f>90/414</f>
        <v/>
      </c>
      <c r="J103" s="33" t="inlineStr">
        <is>
          <t>AAP</t>
        </is>
      </c>
      <c r="K103" s="31" t="n">
        <v>-130</v>
      </c>
      <c r="L103" s="34">
        <f>I103-F103</f>
        <v/>
      </c>
      <c r="M103" s="31" t="n">
        <v>74</v>
      </c>
      <c r="N103" s="31" t="n">
        <v>414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37" t="inlineStr">
        <is>
          <t>Lost in 2024 (to SAD)</t>
        </is>
      </c>
      <c r="E104" s="24" t="n">
        <v>151</v>
      </c>
      <c r="F104" s="25">
        <f>151/386</f>
        <v/>
      </c>
      <c r="G104" s="26" t="inlineStr">
        <is>
          <t>INC</t>
        </is>
      </c>
      <c r="H104" s="24" t="n">
        <v>70</v>
      </c>
      <c r="I104" s="25">
        <f>70/344</f>
        <v/>
      </c>
      <c r="J104" s="26" t="inlineStr">
        <is>
          <t>SAD</t>
        </is>
      </c>
      <c r="K104" s="24" t="n">
        <v>-81</v>
      </c>
      <c r="L104" s="27">
        <f>I104-F104</f>
        <v/>
      </c>
      <c r="M104" s="24" t="n">
        <v>21</v>
      </c>
      <c r="N104" s="24" t="n">
        <v>344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23" t="inlineStr">
        <is>
          <t>Won Both Times (Stronghold)</t>
        </is>
      </c>
      <c r="E105" s="31" t="n">
        <v>374</v>
      </c>
      <c r="F105" s="32">
        <f>374/815</f>
        <v/>
      </c>
      <c r="G105" s="33" t="inlineStr">
        <is>
          <t>INC</t>
        </is>
      </c>
      <c r="H105" s="31" t="n">
        <v>164</v>
      </c>
      <c r="I105" s="32">
        <f>164/613</f>
        <v/>
      </c>
      <c r="J105" s="33" t="inlineStr">
        <is>
          <t>INC</t>
        </is>
      </c>
      <c r="K105" s="31" t="n">
        <v>-210</v>
      </c>
      <c r="L105" s="34">
        <f>I105-F105</f>
        <v/>
      </c>
      <c r="M105" s="31" t="n">
        <v>12</v>
      </c>
      <c r="N105" s="31" t="n">
        <v>613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37" t="inlineStr">
        <is>
          <t>Lost in 2024 (to AAP)</t>
        </is>
      </c>
      <c r="E106" s="24" t="n">
        <v>260</v>
      </c>
      <c r="F106" s="25">
        <f>260/567</f>
        <v/>
      </c>
      <c r="G106" s="26" t="inlineStr">
        <is>
          <t>INC</t>
        </is>
      </c>
      <c r="H106" s="24" t="n">
        <v>94</v>
      </c>
      <c r="I106" s="25">
        <f>94/446</f>
        <v/>
      </c>
      <c r="J106" s="26" t="inlineStr">
        <is>
          <t>AAP</t>
        </is>
      </c>
      <c r="K106" s="24" t="n">
        <v>-166</v>
      </c>
      <c r="L106" s="27">
        <f>I106-F106</f>
        <v/>
      </c>
      <c r="M106" s="24" t="n">
        <v>26</v>
      </c>
      <c r="N106" s="24" t="n">
        <v>446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30" t="inlineStr">
        <is>
          <t>Lost Both Times (Deficit)</t>
        </is>
      </c>
      <c r="E107" s="31" t="n">
        <v>114</v>
      </c>
      <c r="F107" s="32">
        <f>114/774</f>
        <v/>
      </c>
      <c r="G107" s="33" t="inlineStr">
        <is>
          <t>SAD</t>
        </is>
      </c>
      <c r="H107" s="31" t="n">
        <v>177</v>
      </c>
      <c r="I107" s="32">
        <f>177/666</f>
        <v/>
      </c>
      <c r="J107" s="33" t="inlineStr">
        <is>
          <t>SAD</t>
        </is>
      </c>
      <c r="K107" s="31" t="n">
        <v>63</v>
      </c>
      <c r="L107" s="34">
        <f>I107-F107</f>
        <v/>
      </c>
      <c r="M107" s="31" t="n">
        <v>136</v>
      </c>
      <c r="N107" s="31" t="n">
        <v>666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30" t="inlineStr">
        <is>
          <t>Lost Both Times (Deficit)</t>
        </is>
      </c>
      <c r="E108" s="24" t="n">
        <v>176</v>
      </c>
      <c r="F108" s="25">
        <f>176/723</f>
        <v/>
      </c>
      <c r="G108" s="26" t="inlineStr">
        <is>
          <t>SAD</t>
        </is>
      </c>
      <c r="H108" s="24" t="n">
        <v>168</v>
      </c>
      <c r="I108" s="25">
        <f>168/602</f>
        <v/>
      </c>
      <c r="J108" s="26" t="inlineStr">
        <is>
          <t>SAD</t>
        </is>
      </c>
      <c r="K108" s="24" t="n">
        <v>-8</v>
      </c>
      <c r="L108" s="27">
        <f>I108-F108</f>
        <v/>
      </c>
      <c r="M108" s="24" t="n">
        <v>91</v>
      </c>
      <c r="N108" s="24" t="n">
        <v>602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30" t="inlineStr">
        <is>
          <t>Lost Both Times (Deficit)</t>
        </is>
      </c>
      <c r="E109" s="31" t="n">
        <v>205</v>
      </c>
      <c r="F109" s="32">
        <f>205/757</f>
        <v/>
      </c>
      <c r="G109" s="33" t="inlineStr">
        <is>
          <t>SAD</t>
        </is>
      </c>
      <c r="H109" s="31" t="n">
        <v>211</v>
      </c>
      <c r="I109" s="32">
        <f>211/625</f>
        <v/>
      </c>
      <c r="J109" s="33" t="inlineStr">
        <is>
          <t>SAD</t>
        </is>
      </c>
      <c r="K109" s="31" t="n">
        <v>6</v>
      </c>
      <c r="L109" s="34">
        <f>I109-F109</f>
        <v/>
      </c>
      <c r="M109" s="31" t="n">
        <v>52</v>
      </c>
      <c r="N109" s="31" t="n">
        <v>625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30" t="inlineStr">
        <is>
          <t>Lost Both Times (Deficit)</t>
        </is>
      </c>
      <c r="E110" s="24" t="n">
        <v>90</v>
      </c>
      <c r="F110" s="25">
        <f>90/439</f>
        <v/>
      </c>
      <c r="G110" s="26" t="inlineStr">
        <is>
          <t>SAD</t>
        </is>
      </c>
      <c r="H110" s="24" t="n">
        <v>107</v>
      </c>
      <c r="I110" s="25">
        <f>107/404</f>
        <v/>
      </c>
      <c r="J110" s="26" t="inlineStr">
        <is>
          <t>SAD</t>
        </is>
      </c>
      <c r="K110" s="24" t="n">
        <v>17</v>
      </c>
      <c r="L110" s="27">
        <f>I110-F110</f>
        <v/>
      </c>
      <c r="M110" s="24" t="n">
        <v>78</v>
      </c>
      <c r="N110" s="24" t="n">
        <v>404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30" t="inlineStr">
        <is>
          <t>Lost Both Times (Deficit)</t>
        </is>
      </c>
      <c r="E111" s="31" t="n">
        <v>244</v>
      </c>
      <c r="F111" s="32">
        <f>244/566</f>
        <v/>
      </c>
      <c r="G111" s="33" t="inlineStr">
        <is>
          <t>SAD</t>
        </is>
      </c>
      <c r="H111" s="31" t="n">
        <v>168</v>
      </c>
      <c r="I111" s="32">
        <f>168/473</f>
        <v/>
      </c>
      <c r="J111" s="33" t="inlineStr">
        <is>
          <t>SAD</t>
        </is>
      </c>
      <c r="K111" s="31" t="n">
        <v>-76</v>
      </c>
      <c r="L111" s="34">
        <f>I111-F111</f>
        <v/>
      </c>
      <c r="M111" s="31" t="n">
        <v>57</v>
      </c>
      <c r="N111" s="31" t="n">
        <v>473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30" t="inlineStr">
        <is>
          <t>Lost Both Times (Deficit)</t>
        </is>
      </c>
      <c r="E112" s="24" t="n">
        <v>214</v>
      </c>
      <c r="F112" s="25">
        <f>214/775</f>
        <v/>
      </c>
      <c r="G112" s="26" t="inlineStr">
        <is>
          <t>SAD</t>
        </is>
      </c>
      <c r="H112" s="24" t="n">
        <v>205</v>
      </c>
      <c r="I112" s="25">
        <f>205/655</f>
        <v/>
      </c>
      <c r="J112" s="26" t="inlineStr">
        <is>
          <t>SAD</t>
        </is>
      </c>
      <c r="K112" s="24" t="n">
        <v>-9</v>
      </c>
      <c r="L112" s="27">
        <f>I112-F112</f>
        <v/>
      </c>
      <c r="M112" s="24" t="n">
        <v>112</v>
      </c>
      <c r="N112" s="24" t="n">
        <v>655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23" t="inlineStr">
        <is>
          <t>Won Both Times (Stronghold)</t>
        </is>
      </c>
      <c r="E113" s="31" t="n">
        <v>296</v>
      </c>
      <c r="F113" s="32">
        <f>296/671</f>
        <v/>
      </c>
      <c r="G113" s="33" t="inlineStr">
        <is>
          <t>INC</t>
        </is>
      </c>
      <c r="H113" s="31" t="n">
        <v>237</v>
      </c>
      <c r="I113" s="32">
        <f>237/553</f>
        <v/>
      </c>
      <c r="J113" s="33" t="inlineStr">
        <is>
          <t>INC</t>
        </is>
      </c>
      <c r="K113" s="31" t="n">
        <v>-59</v>
      </c>
      <c r="L113" s="34">
        <f>I113-F113</f>
        <v/>
      </c>
      <c r="M113" s="31" t="n">
        <v>126</v>
      </c>
      <c r="N113" s="31" t="n">
        <v>553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30" t="inlineStr">
        <is>
          <t>Lost Both Times (Deficit)</t>
        </is>
      </c>
      <c r="E114" s="24" t="n">
        <v>210</v>
      </c>
      <c r="F114" s="25">
        <f>210/693</f>
        <v/>
      </c>
      <c r="G114" s="26" t="inlineStr">
        <is>
          <t>AAP</t>
        </is>
      </c>
      <c r="H114" s="24" t="n">
        <v>137</v>
      </c>
      <c r="I114" s="25">
        <f>137/563</f>
        <v/>
      </c>
      <c r="J114" s="26" t="inlineStr">
        <is>
          <t>SAD</t>
        </is>
      </c>
      <c r="K114" s="24" t="n">
        <v>-73</v>
      </c>
      <c r="L114" s="27">
        <f>I114-F114</f>
        <v/>
      </c>
      <c r="M114" s="24" t="n">
        <v>27</v>
      </c>
      <c r="N114" s="24" t="n">
        <v>563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30" t="inlineStr">
        <is>
          <t>Lost Both Times (Deficit)</t>
        </is>
      </c>
      <c r="E115" s="31" t="n">
        <v>140</v>
      </c>
      <c r="F115" s="32">
        <f>140/672</f>
        <v/>
      </c>
      <c r="G115" s="33" t="inlineStr">
        <is>
          <t>AAP</t>
        </is>
      </c>
      <c r="H115" s="31" t="n">
        <v>135</v>
      </c>
      <c r="I115" s="32">
        <f>135/520</f>
        <v/>
      </c>
      <c r="J115" s="33" t="inlineStr">
        <is>
          <t>SAD</t>
        </is>
      </c>
      <c r="K115" s="31" t="n">
        <v>-5</v>
      </c>
      <c r="L115" s="34">
        <f>I115-F115</f>
        <v/>
      </c>
      <c r="M115" s="31" t="n">
        <v>20</v>
      </c>
      <c r="N115" s="31" t="n">
        <v>520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35" t="inlineStr">
        <is>
          <t>Gained in 2024 (New Win)</t>
        </is>
      </c>
      <c r="E116" s="24" t="n">
        <v>156</v>
      </c>
      <c r="F116" s="25">
        <f>156/494</f>
        <v/>
      </c>
      <c r="G116" s="26" t="inlineStr">
        <is>
          <t>SAD</t>
        </is>
      </c>
      <c r="H116" s="24" t="n">
        <v>176</v>
      </c>
      <c r="I116" s="25">
        <f>176/407</f>
        <v/>
      </c>
      <c r="J116" s="26" t="inlineStr">
        <is>
          <t>INC</t>
        </is>
      </c>
      <c r="K116" s="24" t="n">
        <v>20</v>
      </c>
      <c r="L116" s="27">
        <f>I116-F116</f>
        <v/>
      </c>
      <c r="M116" s="24" t="n">
        <v>27</v>
      </c>
      <c r="N116" s="24" t="n">
        <v>407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23" t="inlineStr">
        <is>
          <t>Won Both Times (Stronghold)</t>
        </is>
      </c>
      <c r="E117" s="31" t="n">
        <v>180</v>
      </c>
      <c r="F117" s="32">
        <f>180/451</f>
        <v/>
      </c>
      <c r="G117" s="33" t="inlineStr">
        <is>
          <t>INC</t>
        </is>
      </c>
      <c r="H117" s="31" t="n">
        <v>203</v>
      </c>
      <c r="I117" s="32">
        <f>203/367</f>
        <v/>
      </c>
      <c r="J117" s="33" t="inlineStr">
        <is>
          <t>INC</t>
        </is>
      </c>
      <c r="K117" s="31" t="n">
        <v>23</v>
      </c>
      <c r="L117" s="34">
        <f>I117-F117</f>
        <v/>
      </c>
      <c r="M117" s="31" t="n">
        <v>114</v>
      </c>
      <c r="N117" s="31" t="n">
        <v>367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30" t="inlineStr">
        <is>
          <t>Lost Both Times (Deficit)</t>
        </is>
      </c>
      <c r="E118" s="24" t="n">
        <v>179</v>
      </c>
      <c r="F118" s="25">
        <f>179/510</f>
        <v/>
      </c>
      <c r="G118" s="26" t="inlineStr">
        <is>
          <t>SAD</t>
        </is>
      </c>
      <c r="H118" s="24" t="n">
        <v>134</v>
      </c>
      <c r="I118" s="25">
        <f>134/439</f>
        <v/>
      </c>
      <c r="J118" s="26" t="inlineStr">
        <is>
          <t>SAD</t>
        </is>
      </c>
      <c r="K118" s="24" t="n">
        <v>-45</v>
      </c>
      <c r="L118" s="27">
        <f>I118-F118</f>
        <v/>
      </c>
      <c r="M118" s="24" t="n">
        <v>80</v>
      </c>
      <c r="N118" s="24" t="n">
        <v>439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23" t="inlineStr">
        <is>
          <t>Won Both Times (Stronghold)</t>
        </is>
      </c>
      <c r="E119" s="31" t="n">
        <v>246</v>
      </c>
      <c r="F119" s="32">
        <f>246/740</f>
        <v/>
      </c>
      <c r="G119" s="33" t="inlineStr">
        <is>
          <t>INC</t>
        </is>
      </c>
      <c r="H119" s="31" t="n">
        <v>234</v>
      </c>
      <c r="I119" s="32">
        <f>234/669</f>
        <v/>
      </c>
      <c r="J119" s="33" t="inlineStr">
        <is>
          <t>INC</t>
        </is>
      </c>
      <c r="K119" s="31" t="n">
        <v>-12</v>
      </c>
      <c r="L119" s="34">
        <f>I119-F119</f>
        <v/>
      </c>
      <c r="M119" s="31" t="n">
        <v>84</v>
      </c>
      <c r="N119" s="31" t="n">
        <v>669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35" t="inlineStr">
        <is>
          <t>Gained in 2024 (New Win)</t>
        </is>
      </c>
      <c r="E120" s="24" t="n">
        <v>362</v>
      </c>
      <c r="F120" s="25">
        <f>362/931</f>
        <v/>
      </c>
      <c r="G120" s="26" t="inlineStr">
        <is>
          <t>SAD</t>
        </is>
      </c>
      <c r="H120" s="24" t="n">
        <v>307</v>
      </c>
      <c r="I120" s="25">
        <f>307/801</f>
        <v/>
      </c>
      <c r="J120" s="26" t="inlineStr">
        <is>
          <t>INC</t>
        </is>
      </c>
      <c r="K120" s="24" t="n">
        <v>-55</v>
      </c>
      <c r="L120" s="27">
        <f>I120-F120</f>
        <v/>
      </c>
      <c r="M120" s="24" t="n">
        <v>84</v>
      </c>
      <c r="N120" s="24" t="n">
        <v>801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37" t="inlineStr">
        <is>
          <t>Lost in 2024 (to SAD)</t>
        </is>
      </c>
      <c r="E121" s="31" t="n">
        <v>265</v>
      </c>
      <c r="F121" s="32">
        <f>265/779</f>
        <v/>
      </c>
      <c r="G121" s="33" t="inlineStr">
        <is>
          <t>INC</t>
        </is>
      </c>
      <c r="H121" s="31" t="n">
        <v>142</v>
      </c>
      <c r="I121" s="32">
        <f>142/625</f>
        <v/>
      </c>
      <c r="J121" s="33" t="inlineStr">
        <is>
          <t>SAD</t>
        </is>
      </c>
      <c r="K121" s="31" t="n">
        <v>-123</v>
      </c>
      <c r="L121" s="34">
        <f>I121-F121</f>
        <v/>
      </c>
      <c r="M121" s="31" t="n">
        <v>54</v>
      </c>
      <c r="N121" s="31" t="n">
        <v>625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23" t="inlineStr">
        <is>
          <t>Won Both Times (Stronghold)</t>
        </is>
      </c>
      <c r="E122" s="24" t="n">
        <v>146</v>
      </c>
      <c r="F122" s="25">
        <f>146/279</f>
        <v/>
      </c>
      <c r="G122" s="26" t="inlineStr">
        <is>
          <t>INC</t>
        </is>
      </c>
      <c r="H122" s="24" t="n">
        <v>145</v>
      </c>
      <c r="I122" s="25">
        <f>145/264</f>
        <v/>
      </c>
      <c r="J122" s="26" t="inlineStr">
        <is>
          <t>INC</t>
        </is>
      </c>
      <c r="K122" s="24" t="n">
        <v>-1</v>
      </c>
      <c r="L122" s="27">
        <f>I122-F122</f>
        <v/>
      </c>
      <c r="M122" s="24" t="n">
        <v>65</v>
      </c>
      <c r="N122" s="24" t="n">
        <v>264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30" t="inlineStr">
        <is>
          <t>Lost Both Times (Deficit)</t>
        </is>
      </c>
      <c r="E123" s="31" t="n">
        <v>183</v>
      </c>
      <c r="F123" s="32">
        <f>183/744</f>
        <v/>
      </c>
      <c r="G123" s="33" t="inlineStr">
        <is>
          <t>SAD</t>
        </is>
      </c>
      <c r="H123" s="31" t="n">
        <v>191</v>
      </c>
      <c r="I123" s="32">
        <f>191/668</f>
        <v/>
      </c>
      <c r="J123" s="33" t="inlineStr">
        <is>
          <t>AAP</t>
        </is>
      </c>
      <c r="K123" s="31" t="n">
        <v>8</v>
      </c>
      <c r="L123" s="34">
        <f>I123-F123</f>
        <v/>
      </c>
      <c r="M123" s="31" t="n">
        <v>64</v>
      </c>
      <c r="N123" s="31" t="n">
        <v>668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35" t="inlineStr">
        <is>
          <t>Gained in 2024 (New Win)</t>
        </is>
      </c>
      <c r="E124" s="24" t="n">
        <v>237</v>
      </c>
      <c r="F124" s="25">
        <f>237/833</f>
        <v/>
      </c>
      <c r="G124" s="26" t="inlineStr">
        <is>
          <t>AAP</t>
        </is>
      </c>
      <c r="H124" s="24" t="n">
        <v>195</v>
      </c>
      <c r="I124" s="25">
        <f>195/678</f>
        <v/>
      </c>
      <c r="J124" s="26" t="inlineStr">
        <is>
          <t>INC</t>
        </is>
      </c>
      <c r="K124" s="24" t="n">
        <v>-42</v>
      </c>
      <c r="L124" s="27">
        <f>I124-F124</f>
        <v/>
      </c>
      <c r="M124" s="24" t="n">
        <v>18</v>
      </c>
      <c r="N124" s="24" t="n">
        <v>678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35" t="inlineStr">
        <is>
          <t>Gained in 2024 (New Win)</t>
        </is>
      </c>
      <c r="E125" s="31" t="n">
        <v>212</v>
      </c>
      <c r="F125" s="32">
        <f>212/706</f>
        <v/>
      </c>
      <c r="G125" s="33" t="inlineStr">
        <is>
          <t>AAP</t>
        </is>
      </c>
      <c r="H125" s="31" t="n">
        <v>160</v>
      </c>
      <c r="I125" s="32">
        <f>160/569</f>
        <v/>
      </c>
      <c r="J125" s="33" t="inlineStr">
        <is>
          <t>INC</t>
        </is>
      </c>
      <c r="K125" s="31" t="n">
        <v>-52</v>
      </c>
      <c r="L125" s="34">
        <f>I125-F125</f>
        <v/>
      </c>
      <c r="M125" s="31" t="n">
        <v>4</v>
      </c>
      <c r="N125" s="31" t="n">
        <v>569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35" t="inlineStr">
        <is>
          <t>Gained in 2024 (New Win)</t>
        </is>
      </c>
      <c r="E126" s="24" t="n">
        <v>184</v>
      </c>
      <c r="F126" s="25">
        <f>184/712</f>
        <v/>
      </c>
      <c r="G126" s="26" t="inlineStr">
        <is>
          <t>SAD</t>
        </is>
      </c>
      <c r="H126" s="24" t="n">
        <v>236</v>
      </c>
      <c r="I126" s="25">
        <f>236/587</f>
        <v/>
      </c>
      <c r="J126" s="26" t="inlineStr">
        <is>
          <t>INC</t>
        </is>
      </c>
      <c r="K126" s="24" t="n">
        <v>52</v>
      </c>
      <c r="L126" s="27">
        <f>I126-F126</f>
        <v/>
      </c>
      <c r="M126" s="24" t="n">
        <v>68</v>
      </c>
      <c r="N126" s="24" t="n">
        <v>587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23" t="inlineStr">
        <is>
          <t>Won Both Times (Stronghold)</t>
        </is>
      </c>
      <c r="E127" s="31" t="n">
        <v>193</v>
      </c>
      <c r="F127" s="32">
        <f>193/379</f>
        <v/>
      </c>
      <c r="G127" s="33" t="inlineStr">
        <is>
          <t>INC</t>
        </is>
      </c>
      <c r="H127" s="31" t="n">
        <v>155</v>
      </c>
      <c r="I127" s="32">
        <f>155/331</f>
        <v/>
      </c>
      <c r="J127" s="33" t="inlineStr">
        <is>
          <t>INC</t>
        </is>
      </c>
      <c r="K127" s="31" t="n">
        <v>-38</v>
      </c>
      <c r="L127" s="34">
        <f>I127-F127</f>
        <v/>
      </c>
      <c r="M127" s="31" t="n">
        <v>39</v>
      </c>
      <c r="N127" s="31" t="n">
        <v>331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35" t="inlineStr">
        <is>
          <t>Gained in 2024 (New Win)</t>
        </is>
      </c>
      <c r="E128" s="24" t="n">
        <v>183</v>
      </c>
      <c r="F128" s="25">
        <f>183/574</f>
        <v/>
      </c>
      <c r="G128" s="26" t="inlineStr">
        <is>
          <t>AAP</t>
        </is>
      </c>
      <c r="H128" s="24" t="n">
        <v>209</v>
      </c>
      <c r="I128" s="25">
        <f>209/465</f>
        <v/>
      </c>
      <c r="J128" s="26" t="inlineStr">
        <is>
          <t>INC</t>
        </is>
      </c>
      <c r="K128" s="24" t="n">
        <v>26</v>
      </c>
      <c r="L128" s="27">
        <f>I128-F128</f>
        <v/>
      </c>
      <c r="M128" s="24" t="n">
        <v>72</v>
      </c>
      <c r="N128" s="24" t="n">
        <v>465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30" t="inlineStr">
        <is>
          <t>Lost Both Times (Deficit)</t>
        </is>
      </c>
      <c r="E129" s="31" t="n">
        <v>172</v>
      </c>
      <c r="F129" s="32">
        <f>172/515</f>
        <v/>
      </c>
      <c r="G129" s="33" t="inlineStr">
        <is>
          <t>AAP</t>
        </is>
      </c>
      <c r="H129" s="31" t="n">
        <v>107</v>
      </c>
      <c r="I129" s="32">
        <f>107/402</f>
        <v/>
      </c>
      <c r="J129" s="33" t="inlineStr">
        <is>
          <t>AAP</t>
        </is>
      </c>
      <c r="K129" s="31" t="n">
        <v>-65</v>
      </c>
      <c r="L129" s="34">
        <f>I129-F129</f>
        <v/>
      </c>
      <c r="M129" s="31" t="n">
        <v>70</v>
      </c>
      <c r="N129" s="31" t="n">
        <v>402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23" t="inlineStr">
        <is>
          <t>Won Both Times (Stronghold)</t>
        </is>
      </c>
      <c r="E130" s="24" t="n">
        <v>308</v>
      </c>
      <c r="F130" s="25">
        <f>308/554</f>
        <v/>
      </c>
      <c r="G130" s="26" t="inlineStr">
        <is>
          <t>INC</t>
        </is>
      </c>
      <c r="H130" s="24" t="n">
        <v>172</v>
      </c>
      <c r="I130" s="25">
        <f>172/486</f>
        <v/>
      </c>
      <c r="J130" s="26" t="inlineStr">
        <is>
          <t>INC</t>
        </is>
      </c>
      <c r="K130" s="24" t="n">
        <v>-136</v>
      </c>
      <c r="L130" s="27">
        <f>I130-F130</f>
        <v/>
      </c>
      <c r="M130" s="24" t="n">
        <v>21</v>
      </c>
      <c r="N130" s="24" t="n">
        <v>486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35" t="inlineStr">
        <is>
          <t>Gained in 2024 (New Win)</t>
        </is>
      </c>
      <c r="E131" s="31" t="n">
        <v>123</v>
      </c>
      <c r="F131" s="32">
        <f>123/490</f>
        <v/>
      </c>
      <c r="G131" s="33" t="inlineStr">
        <is>
          <t>AAP</t>
        </is>
      </c>
      <c r="H131" s="31" t="n">
        <v>120</v>
      </c>
      <c r="I131" s="32">
        <f>120/383</f>
        <v/>
      </c>
      <c r="J131" s="33" t="inlineStr">
        <is>
          <t>INC</t>
        </is>
      </c>
      <c r="K131" s="31" t="n">
        <v>-3</v>
      </c>
      <c r="L131" s="34">
        <f>I131-F131</f>
        <v/>
      </c>
      <c r="M131" s="31" t="n">
        <v>15</v>
      </c>
      <c r="N131" s="31" t="n">
        <v>383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30" t="inlineStr">
        <is>
          <t>Lost Both Times (Deficit)</t>
        </is>
      </c>
      <c r="E132" s="24" t="n">
        <v>130</v>
      </c>
      <c r="F132" s="25">
        <f>130/580</f>
        <v/>
      </c>
      <c r="G132" s="26" t="inlineStr">
        <is>
          <t>SAD</t>
        </is>
      </c>
      <c r="H132" s="24" t="n">
        <v>122</v>
      </c>
      <c r="I132" s="25">
        <f>122/526</f>
        <v/>
      </c>
      <c r="J132" s="26" t="inlineStr">
        <is>
          <t>AAP</t>
        </is>
      </c>
      <c r="K132" s="24" t="n">
        <v>-8</v>
      </c>
      <c r="L132" s="27">
        <f>I132-F132</f>
        <v/>
      </c>
      <c r="M132" s="24" t="n">
        <v>2</v>
      </c>
      <c r="N132" s="24" t="n">
        <v>526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36" t="inlineStr">
        <is>
          <t>Weak Booth (&lt; 20% Share)</t>
        </is>
      </c>
      <c r="E133" s="31" t="n">
        <v>151</v>
      </c>
      <c r="F133" s="32">
        <f>151/634</f>
        <v/>
      </c>
      <c r="G133" s="33" t="inlineStr">
        <is>
          <t>AAP</t>
        </is>
      </c>
      <c r="H133" s="31" t="n">
        <v>92</v>
      </c>
      <c r="I133" s="32">
        <f>92/499</f>
        <v/>
      </c>
      <c r="J133" s="33" t="inlineStr">
        <is>
          <t>BJP</t>
        </is>
      </c>
      <c r="K133" s="31" t="n">
        <v>-59</v>
      </c>
      <c r="L133" s="34">
        <f>I133-F133</f>
        <v/>
      </c>
      <c r="M133" s="31" t="n">
        <v>85</v>
      </c>
      <c r="N133" s="31" t="n">
        <v>499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35" t="inlineStr">
        <is>
          <t>Gained in 2024 (New Win)</t>
        </is>
      </c>
      <c r="E134" s="24" t="n">
        <v>245</v>
      </c>
      <c r="F134" s="25">
        <f>245/761</f>
        <v/>
      </c>
      <c r="G134" s="26" t="inlineStr">
        <is>
          <t>AAP</t>
        </is>
      </c>
      <c r="H134" s="24" t="n">
        <v>300</v>
      </c>
      <c r="I134" s="25">
        <f>300/691</f>
        <v/>
      </c>
      <c r="J134" s="26" t="inlineStr">
        <is>
          <t>INC</t>
        </is>
      </c>
      <c r="K134" s="24" t="n">
        <v>55</v>
      </c>
      <c r="L134" s="27">
        <f>I134-F134</f>
        <v/>
      </c>
      <c r="M134" s="24" t="n">
        <v>156</v>
      </c>
      <c r="N134" s="24" t="n">
        <v>691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35" t="inlineStr">
        <is>
          <t>Gained in 2024 (New Win)</t>
        </is>
      </c>
      <c r="E135" s="31" t="n">
        <v>208</v>
      </c>
      <c r="F135" s="32">
        <f>208/681</f>
        <v/>
      </c>
      <c r="G135" s="33" t="inlineStr">
        <is>
          <t>SAD</t>
        </is>
      </c>
      <c r="H135" s="31" t="n">
        <v>237</v>
      </c>
      <c r="I135" s="32">
        <f>237/615</f>
        <v/>
      </c>
      <c r="J135" s="33" t="inlineStr">
        <is>
          <t>INC</t>
        </is>
      </c>
      <c r="K135" s="31" t="n">
        <v>29</v>
      </c>
      <c r="L135" s="34">
        <f>I135-F135</f>
        <v/>
      </c>
      <c r="M135" s="31" t="n">
        <v>98</v>
      </c>
      <c r="N135" s="31" t="n">
        <v>615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37" t="inlineStr">
        <is>
          <t>Lost in 2024 (to AAP)</t>
        </is>
      </c>
      <c r="E136" s="24" t="n">
        <v>157</v>
      </c>
      <c r="F136" s="25">
        <f>157/331</f>
        <v/>
      </c>
      <c r="G136" s="26" t="inlineStr">
        <is>
          <t>INC</t>
        </is>
      </c>
      <c r="H136" s="24" t="n">
        <v>104</v>
      </c>
      <c r="I136" s="25">
        <f>104/320</f>
        <v/>
      </c>
      <c r="J136" s="26" t="inlineStr">
        <is>
          <t>AAP</t>
        </is>
      </c>
      <c r="K136" s="24" t="n">
        <v>-53</v>
      </c>
      <c r="L136" s="27">
        <f>I136-F136</f>
        <v/>
      </c>
      <c r="M136" s="24" t="n">
        <v>41</v>
      </c>
      <c r="N136" s="24" t="n">
        <v>320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37" t="inlineStr">
        <is>
          <t>Lost in 2024 (to SAD)</t>
        </is>
      </c>
      <c r="E137" s="31" t="n">
        <v>301</v>
      </c>
      <c r="F137" s="32">
        <f>301/764</f>
        <v/>
      </c>
      <c r="G137" s="33" t="inlineStr">
        <is>
          <t>INC</t>
        </is>
      </c>
      <c r="H137" s="31" t="n">
        <v>167</v>
      </c>
      <c r="I137" s="32">
        <f>167/657</f>
        <v/>
      </c>
      <c r="J137" s="33" t="inlineStr">
        <is>
          <t>SAD</t>
        </is>
      </c>
      <c r="K137" s="31" t="n">
        <v>-134</v>
      </c>
      <c r="L137" s="34">
        <f>I137-F137</f>
        <v/>
      </c>
      <c r="M137" s="31" t="n">
        <v>18</v>
      </c>
      <c r="N137" s="31" t="n">
        <v>657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23" t="inlineStr">
        <is>
          <t>Won Both Times (Stronghold)</t>
        </is>
      </c>
      <c r="E138" s="24" t="n">
        <v>212</v>
      </c>
      <c r="F138" s="25">
        <f>212/639</f>
        <v/>
      </c>
      <c r="G138" s="26" t="inlineStr">
        <is>
          <t>INC</t>
        </is>
      </c>
      <c r="H138" s="24" t="n">
        <v>168</v>
      </c>
      <c r="I138" s="25">
        <f>168/494</f>
        <v/>
      </c>
      <c r="J138" s="26" t="inlineStr">
        <is>
          <t>INC</t>
        </is>
      </c>
      <c r="K138" s="24" t="n">
        <v>-44</v>
      </c>
      <c r="L138" s="27">
        <f>I138-F138</f>
        <v/>
      </c>
      <c r="M138" s="24" t="n">
        <v>32</v>
      </c>
      <c r="N138" s="24" t="n">
        <v>494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30" t="inlineStr">
        <is>
          <t>Lost Both Times (Deficit)</t>
        </is>
      </c>
      <c r="E139" s="31" t="n">
        <v>102</v>
      </c>
      <c r="F139" s="32">
        <f>102/461</f>
        <v/>
      </c>
      <c r="G139" s="33" t="inlineStr">
        <is>
          <t>AAP</t>
        </is>
      </c>
      <c r="H139" s="31" t="n">
        <v>91</v>
      </c>
      <c r="I139" s="32">
        <f>91/390</f>
        <v/>
      </c>
      <c r="J139" s="33" t="inlineStr">
        <is>
          <t>AAP</t>
        </is>
      </c>
      <c r="K139" s="31" t="n">
        <v>-11</v>
      </c>
      <c r="L139" s="34">
        <f>I139-F139</f>
        <v/>
      </c>
      <c r="M139" s="31" t="n">
        <v>66</v>
      </c>
      <c r="N139" s="31" t="n">
        <v>390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37" t="inlineStr">
        <is>
          <t>Lost in 2024 (to AAP)</t>
        </is>
      </c>
      <c r="E140" s="24" t="n">
        <v>218</v>
      </c>
      <c r="F140" s="25">
        <f>218/474</f>
        <v/>
      </c>
      <c r="G140" s="26" t="inlineStr">
        <is>
          <t>INC</t>
        </is>
      </c>
      <c r="H140" s="24" t="n">
        <v>125</v>
      </c>
      <c r="I140" s="25">
        <f>125/385</f>
        <v/>
      </c>
      <c r="J140" s="26" t="inlineStr">
        <is>
          <t>AAP</t>
        </is>
      </c>
      <c r="K140" s="24" t="n">
        <v>-93</v>
      </c>
      <c r="L140" s="27">
        <f>I140-F140</f>
        <v/>
      </c>
      <c r="M140" s="24" t="n">
        <v>17</v>
      </c>
      <c r="N140" s="24" t="n">
        <v>385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35" t="inlineStr">
        <is>
          <t>Gained in 2024 (New Win)</t>
        </is>
      </c>
      <c r="E141" s="31" t="n">
        <v>203</v>
      </c>
      <c r="F141" s="32">
        <f>203/756</f>
        <v/>
      </c>
      <c r="G141" s="33" t="inlineStr">
        <is>
          <t>SAD</t>
        </is>
      </c>
      <c r="H141" s="31" t="n">
        <v>166</v>
      </c>
      <c r="I141" s="32">
        <f>166/535</f>
        <v/>
      </c>
      <c r="J141" s="33" t="inlineStr">
        <is>
          <t>INC</t>
        </is>
      </c>
      <c r="K141" s="31" t="n">
        <v>-37</v>
      </c>
      <c r="L141" s="34">
        <f>I141-F141</f>
        <v/>
      </c>
      <c r="M141" s="31" t="n">
        <v>32</v>
      </c>
      <c r="N141" s="31" t="n">
        <v>535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30" t="inlineStr">
        <is>
          <t>Lost Both Times (Deficit)</t>
        </is>
      </c>
      <c r="E142" s="24" t="n">
        <v>310</v>
      </c>
      <c r="F142" s="25">
        <f>310/876</f>
        <v/>
      </c>
      <c r="G142" s="26" t="inlineStr">
        <is>
          <t>SAD</t>
        </is>
      </c>
      <c r="H142" s="24" t="n">
        <v>145</v>
      </c>
      <c r="I142" s="25">
        <f>145/697</f>
        <v/>
      </c>
      <c r="J142" s="26" t="inlineStr">
        <is>
          <t>AAP</t>
        </is>
      </c>
      <c r="K142" s="24" t="n">
        <v>-165</v>
      </c>
      <c r="L142" s="27">
        <f>I142-F142</f>
        <v/>
      </c>
      <c r="M142" s="24" t="n">
        <v>29</v>
      </c>
      <c r="N142" s="24" t="n">
        <v>697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23" t="inlineStr">
        <is>
          <t>Won Both Times (Stronghold)</t>
        </is>
      </c>
      <c r="E143" s="31" t="n">
        <v>309</v>
      </c>
      <c r="F143" s="32">
        <f>309/778</f>
        <v/>
      </c>
      <c r="G143" s="33" t="inlineStr">
        <is>
          <t>INC</t>
        </is>
      </c>
      <c r="H143" s="31" t="n">
        <v>202</v>
      </c>
      <c r="I143" s="32">
        <f>202/594</f>
        <v/>
      </c>
      <c r="J143" s="33" t="inlineStr">
        <is>
          <t>INC</t>
        </is>
      </c>
      <c r="K143" s="31" t="n">
        <v>-107</v>
      </c>
      <c r="L143" s="34">
        <f>I143-F143</f>
        <v/>
      </c>
      <c r="M143" s="31" t="n">
        <v>58</v>
      </c>
      <c r="N143" s="31" t="n">
        <v>594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35" t="inlineStr">
        <is>
          <t>Gained in 2024 (New Win)</t>
        </is>
      </c>
      <c r="E144" s="24" t="n">
        <v>52</v>
      </c>
      <c r="F144" s="25">
        <f>52/210</f>
        <v/>
      </c>
      <c r="G144" s="26" t="inlineStr">
        <is>
          <t>SAD</t>
        </is>
      </c>
      <c r="H144" s="24" t="n">
        <v>91</v>
      </c>
      <c r="I144" s="25">
        <f>91/193</f>
        <v/>
      </c>
      <c r="J144" s="26" t="inlineStr">
        <is>
          <t>INC</t>
        </is>
      </c>
      <c r="K144" s="24" t="n">
        <v>39</v>
      </c>
      <c r="L144" s="27">
        <f>I144-F144</f>
        <v/>
      </c>
      <c r="M144" s="24" t="n">
        <v>30</v>
      </c>
      <c r="N144" s="24" t="n">
        <v>193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35" t="inlineStr">
        <is>
          <t>Gained in 2024 (New Win)</t>
        </is>
      </c>
      <c r="E145" s="31" t="n">
        <v>142</v>
      </c>
      <c r="F145" s="32">
        <f>142/612</f>
        <v/>
      </c>
      <c r="G145" s="33" t="inlineStr">
        <is>
          <t>SAD</t>
        </is>
      </c>
      <c r="H145" s="31" t="n">
        <v>168</v>
      </c>
      <c r="I145" s="32">
        <f>168/507</f>
        <v/>
      </c>
      <c r="J145" s="33" t="inlineStr">
        <is>
          <t>INC</t>
        </is>
      </c>
      <c r="K145" s="31" t="n">
        <v>26</v>
      </c>
      <c r="L145" s="34">
        <f>I145-F145</f>
        <v/>
      </c>
      <c r="M145" s="31" t="n">
        <v>29</v>
      </c>
      <c r="N145" s="31" t="n">
        <v>507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23" t="inlineStr">
        <is>
          <t>Won Both Times (Stronghold)</t>
        </is>
      </c>
      <c r="E146" s="24" t="n">
        <v>241</v>
      </c>
      <c r="F146" s="25">
        <f>241/642</f>
        <v/>
      </c>
      <c r="G146" s="26" t="inlineStr">
        <is>
          <t>INC</t>
        </is>
      </c>
      <c r="H146" s="24" t="n">
        <v>173</v>
      </c>
      <c r="I146" s="25">
        <f>173/492</f>
        <v/>
      </c>
      <c r="J146" s="26" t="inlineStr">
        <is>
          <t>INC</t>
        </is>
      </c>
      <c r="K146" s="24" t="n">
        <v>-68</v>
      </c>
      <c r="L146" s="27">
        <f>I146-F146</f>
        <v/>
      </c>
      <c r="M146" s="24" t="n">
        <v>41</v>
      </c>
      <c r="N146" s="24" t="n">
        <v>492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23" t="inlineStr">
        <is>
          <t>Won Both Times (Stronghold)</t>
        </is>
      </c>
      <c r="E147" s="31" t="n">
        <v>233</v>
      </c>
      <c r="F147" s="32">
        <f>233/635</f>
        <v/>
      </c>
      <c r="G147" s="33" t="inlineStr">
        <is>
          <t>INC</t>
        </is>
      </c>
      <c r="H147" s="31" t="n">
        <v>164</v>
      </c>
      <c r="I147" s="32">
        <f>164/498</f>
        <v/>
      </c>
      <c r="J147" s="33" t="inlineStr">
        <is>
          <t>INC</t>
        </is>
      </c>
      <c r="K147" s="31" t="n">
        <v>-69</v>
      </c>
      <c r="L147" s="34">
        <f>I147-F147</f>
        <v/>
      </c>
      <c r="M147" s="31" t="n">
        <v>25</v>
      </c>
      <c r="N147" s="31" t="n">
        <v>498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23" t="inlineStr">
        <is>
          <t>Won Both Times (Stronghold)</t>
        </is>
      </c>
      <c r="E148" s="24" t="n">
        <v>272</v>
      </c>
      <c r="F148" s="25">
        <f>272/581</f>
        <v/>
      </c>
      <c r="G148" s="26" t="inlineStr">
        <is>
          <t>INC</t>
        </is>
      </c>
      <c r="H148" s="24" t="n">
        <v>257</v>
      </c>
      <c r="I148" s="25">
        <f>257/474</f>
        <v/>
      </c>
      <c r="J148" s="26" t="inlineStr">
        <is>
          <t>INC</t>
        </is>
      </c>
      <c r="K148" s="24" t="n">
        <v>-15</v>
      </c>
      <c r="L148" s="27">
        <f>I148-F148</f>
        <v/>
      </c>
      <c r="M148" s="24" t="n">
        <v>159</v>
      </c>
      <c r="N148" s="24" t="n">
        <v>474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23" t="inlineStr">
        <is>
          <t>Won Both Times (Stronghold)</t>
        </is>
      </c>
      <c r="E149" s="31" t="n">
        <v>268</v>
      </c>
      <c r="F149" s="32">
        <f>268/524</f>
        <v/>
      </c>
      <c r="G149" s="33" t="inlineStr">
        <is>
          <t>INC</t>
        </is>
      </c>
      <c r="H149" s="31" t="n">
        <v>156</v>
      </c>
      <c r="I149" s="32">
        <f>156/404</f>
        <v/>
      </c>
      <c r="J149" s="33" t="inlineStr">
        <is>
          <t>INC</t>
        </is>
      </c>
      <c r="K149" s="31" t="n">
        <v>-112</v>
      </c>
      <c r="L149" s="34">
        <f>I149-F149</f>
        <v/>
      </c>
      <c r="M149" s="31" t="n">
        <v>33</v>
      </c>
      <c r="N149" s="31" t="n">
        <v>404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37" t="inlineStr">
        <is>
          <t>Lost in 2024 (to SAD)</t>
        </is>
      </c>
      <c r="E150" s="24" t="n">
        <v>292</v>
      </c>
      <c r="F150" s="25">
        <f>292/607</f>
        <v/>
      </c>
      <c r="G150" s="26" t="inlineStr">
        <is>
          <t>INC</t>
        </is>
      </c>
      <c r="H150" s="24" t="n">
        <v>122</v>
      </c>
      <c r="I150" s="25">
        <f>122/517</f>
        <v/>
      </c>
      <c r="J150" s="26" t="inlineStr">
        <is>
          <t>SAD</t>
        </is>
      </c>
      <c r="K150" s="24" t="n">
        <v>-170</v>
      </c>
      <c r="L150" s="27">
        <f>I150-F150</f>
        <v/>
      </c>
      <c r="M150" s="24" t="n">
        <v>34</v>
      </c>
      <c r="N150" s="24" t="n">
        <v>517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35" t="inlineStr">
        <is>
          <t>Gained in 2024 (New Win)</t>
        </is>
      </c>
      <c r="E151" s="31" t="n">
        <v>183</v>
      </c>
      <c r="F151" s="32">
        <f>183/568</f>
        <v/>
      </c>
      <c r="G151" s="33" t="inlineStr">
        <is>
          <t>SAD</t>
        </is>
      </c>
      <c r="H151" s="31" t="n">
        <v>126</v>
      </c>
      <c r="I151" s="32">
        <f>126/437</f>
        <v/>
      </c>
      <c r="J151" s="33" t="inlineStr">
        <is>
          <t>INC</t>
        </is>
      </c>
      <c r="K151" s="31" t="n">
        <v>-57</v>
      </c>
      <c r="L151" s="34">
        <f>I151-F151</f>
        <v/>
      </c>
      <c r="M151" s="31" t="n">
        <v>10</v>
      </c>
      <c r="N151" s="31" t="n">
        <v>437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36" t="inlineStr">
        <is>
          <t>Weak Booth (&lt; 20% Share)</t>
        </is>
      </c>
      <c r="E152" s="24" t="n">
        <v>170</v>
      </c>
      <c r="F152" s="25">
        <f>170/787</f>
        <v/>
      </c>
      <c r="G152" s="26" t="inlineStr">
        <is>
          <t>SAD</t>
        </is>
      </c>
      <c r="H152" s="24" t="n">
        <v>102</v>
      </c>
      <c r="I152" s="25">
        <f>102/720</f>
        <v/>
      </c>
      <c r="J152" s="26" t="inlineStr">
        <is>
          <t>AAP</t>
        </is>
      </c>
      <c r="K152" s="24" t="n">
        <v>-68</v>
      </c>
      <c r="L152" s="27">
        <f>I152-F152</f>
        <v/>
      </c>
      <c r="M152" s="24" t="n">
        <v>134</v>
      </c>
      <c r="N152" s="24" t="n">
        <v>720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37" t="inlineStr">
        <is>
          <t>Lost in 2024 (to SAD-A)</t>
        </is>
      </c>
      <c r="E153" s="31" t="n">
        <v>240</v>
      </c>
      <c r="F153" s="32">
        <f>240/699</f>
        <v/>
      </c>
      <c r="G153" s="33" t="inlineStr">
        <is>
          <t>INC</t>
        </is>
      </c>
      <c r="H153" s="31" t="n">
        <v>101</v>
      </c>
      <c r="I153" s="32">
        <f>101/592</f>
        <v/>
      </c>
      <c r="J153" s="33" t="inlineStr">
        <is>
          <t>SAD-A</t>
        </is>
      </c>
      <c r="K153" s="31" t="n">
        <v>-139</v>
      </c>
      <c r="L153" s="34">
        <f>I153-F153</f>
        <v/>
      </c>
      <c r="M153" s="31" t="n">
        <v>17</v>
      </c>
      <c r="N153" s="31" t="n">
        <v>592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37" t="inlineStr">
        <is>
          <t>Lost in 2024 (to AAP)</t>
        </is>
      </c>
      <c r="E154" s="24" t="n">
        <v>272</v>
      </c>
      <c r="F154" s="25">
        <f>272/665</f>
        <v/>
      </c>
      <c r="G154" s="26" t="inlineStr">
        <is>
          <t>INC</t>
        </is>
      </c>
      <c r="H154" s="24" t="n">
        <v>77</v>
      </c>
      <c r="I154" s="25">
        <f>77/626</f>
        <v/>
      </c>
      <c r="J154" s="26" t="inlineStr">
        <is>
          <t>AAP</t>
        </is>
      </c>
      <c r="K154" s="24" t="n">
        <v>-195</v>
      </c>
      <c r="L154" s="27">
        <f>I154-F154</f>
        <v/>
      </c>
      <c r="M154" s="24" t="n">
        <v>83</v>
      </c>
      <c r="N154" s="24" t="n">
        <v>626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23" t="inlineStr">
        <is>
          <t>Won Both Times (Stronghold)</t>
        </is>
      </c>
      <c r="E155" s="31" t="n">
        <v>365</v>
      </c>
      <c r="F155" s="32">
        <f>365/726</f>
        <v/>
      </c>
      <c r="G155" s="33" t="inlineStr">
        <is>
          <t>INC</t>
        </is>
      </c>
      <c r="H155" s="31" t="n">
        <v>315</v>
      </c>
      <c r="I155" s="32">
        <f>315/608</f>
        <v/>
      </c>
      <c r="J155" s="33" t="inlineStr">
        <is>
          <t>INC</t>
        </is>
      </c>
      <c r="K155" s="31" t="n">
        <v>-50</v>
      </c>
      <c r="L155" s="34">
        <f>I155-F155</f>
        <v/>
      </c>
      <c r="M155" s="31" t="n">
        <v>180</v>
      </c>
      <c r="N155" s="31" t="n">
        <v>608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23" t="inlineStr">
        <is>
          <t>Won Both Times (Stronghold)</t>
        </is>
      </c>
      <c r="E156" s="24" t="n">
        <v>339</v>
      </c>
      <c r="F156" s="25">
        <f>339/817</f>
        <v/>
      </c>
      <c r="G156" s="26" t="inlineStr">
        <is>
          <t>INC</t>
        </is>
      </c>
      <c r="H156" s="24" t="n">
        <v>228</v>
      </c>
      <c r="I156" s="25">
        <f>228/677</f>
        <v/>
      </c>
      <c r="J156" s="26" t="inlineStr">
        <is>
          <t>INC</t>
        </is>
      </c>
      <c r="K156" s="24" t="n">
        <v>-111</v>
      </c>
      <c r="L156" s="27">
        <f>I156-F156</f>
        <v/>
      </c>
      <c r="M156" s="24" t="n">
        <v>53</v>
      </c>
      <c r="N156" s="24" t="n">
        <v>677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35" t="inlineStr">
        <is>
          <t>Gained in 2024 (New Win)</t>
        </is>
      </c>
      <c r="E157" s="31" t="n">
        <v>154</v>
      </c>
      <c r="F157" s="32">
        <f>154/680</f>
        <v/>
      </c>
      <c r="G157" s="33" t="inlineStr">
        <is>
          <t>AAP</t>
        </is>
      </c>
      <c r="H157" s="31" t="n">
        <v>189</v>
      </c>
      <c r="I157" s="32">
        <f>189/519</f>
        <v/>
      </c>
      <c r="J157" s="33" t="inlineStr">
        <is>
          <t>INC</t>
        </is>
      </c>
      <c r="K157" s="31" t="n">
        <v>35</v>
      </c>
      <c r="L157" s="34">
        <f>I157-F157</f>
        <v/>
      </c>
      <c r="M157" s="31" t="n">
        <v>47</v>
      </c>
      <c r="N157" s="31" t="n">
        <v>519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30" t="inlineStr">
        <is>
          <t>Lost Both Times (Deficit)</t>
        </is>
      </c>
      <c r="E158" s="24" t="n">
        <v>178</v>
      </c>
      <c r="F158" s="25">
        <f>178/772</f>
        <v/>
      </c>
      <c r="G158" s="26" t="inlineStr">
        <is>
          <t>AAP</t>
        </is>
      </c>
      <c r="H158" s="24" t="n">
        <v>184</v>
      </c>
      <c r="I158" s="25">
        <f>184/593</f>
        <v/>
      </c>
      <c r="J158" s="26" t="inlineStr">
        <is>
          <t>SAD</t>
        </is>
      </c>
      <c r="K158" s="24" t="n">
        <v>6</v>
      </c>
      <c r="L158" s="27">
        <f>I158-F158</f>
        <v/>
      </c>
      <c r="M158" s="24" t="n">
        <v>3</v>
      </c>
      <c r="N158" s="24" t="n">
        <v>593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37" t="inlineStr">
        <is>
          <t>Lost in 2024 (to AAP)</t>
        </is>
      </c>
      <c r="E159" s="31" t="n">
        <v>309</v>
      </c>
      <c r="F159" s="32">
        <f>309/547</f>
        <v/>
      </c>
      <c r="G159" s="33" t="inlineStr">
        <is>
          <t>INC</t>
        </is>
      </c>
      <c r="H159" s="31" t="n">
        <v>154</v>
      </c>
      <c r="I159" s="32">
        <f>154/479</f>
        <v/>
      </c>
      <c r="J159" s="33" t="inlineStr">
        <is>
          <t>AAP</t>
        </is>
      </c>
      <c r="K159" s="31" t="n">
        <v>-155</v>
      </c>
      <c r="L159" s="34">
        <f>I159-F159</f>
        <v/>
      </c>
      <c r="M159" s="31" t="n">
        <v>83</v>
      </c>
      <c r="N159" s="31" t="n">
        <v>479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23" t="inlineStr">
        <is>
          <t>Won Both Times (Stronghold)</t>
        </is>
      </c>
      <c r="E160" s="24" t="n">
        <v>232</v>
      </c>
      <c r="F160" s="25">
        <f>232/432</f>
        <v/>
      </c>
      <c r="G160" s="26" t="inlineStr">
        <is>
          <t>INC</t>
        </is>
      </c>
      <c r="H160" s="24" t="n">
        <v>197</v>
      </c>
      <c r="I160" s="25">
        <f>197/379</f>
        <v/>
      </c>
      <c r="J160" s="26" t="inlineStr">
        <is>
          <t>INC</t>
        </is>
      </c>
      <c r="K160" s="24" t="n">
        <v>-35</v>
      </c>
      <c r="L160" s="27">
        <f>I160-F160</f>
        <v/>
      </c>
      <c r="M160" s="24" t="n">
        <v>120</v>
      </c>
      <c r="N160" s="24" t="n">
        <v>379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37" t="inlineStr">
        <is>
          <t>Lost in 2024 (to AAP)</t>
        </is>
      </c>
      <c r="E161" s="31" t="n">
        <v>348</v>
      </c>
      <c r="F161" s="32">
        <f>348/730</f>
        <v/>
      </c>
      <c r="G161" s="33" t="inlineStr">
        <is>
          <t>INC</t>
        </is>
      </c>
      <c r="H161" s="31" t="n">
        <v>166</v>
      </c>
      <c r="I161" s="32">
        <f>166/590</f>
        <v/>
      </c>
      <c r="J161" s="33" t="inlineStr">
        <is>
          <t>AAP</t>
        </is>
      </c>
      <c r="K161" s="31" t="n">
        <v>-182</v>
      </c>
      <c r="L161" s="34">
        <f>I161-F161</f>
        <v/>
      </c>
      <c r="M161" s="31" t="n">
        <v>106</v>
      </c>
      <c r="N161" s="31" t="n">
        <v>590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30" t="inlineStr">
        <is>
          <t>Lost Both Times (Deficit)</t>
        </is>
      </c>
      <c r="E162" s="24" t="n">
        <v>116</v>
      </c>
      <c r="F162" s="25">
        <f>116/381</f>
        <v/>
      </c>
      <c r="G162" s="26" t="inlineStr">
        <is>
          <t>SAD</t>
        </is>
      </c>
      <c r="H162" s="24" t="n">
        <v>70</v>
      </c>
      <c r="I162" s="25">
        <f>70/298</f>
        <v/>
      </c>
      <c r="J162" s="26" t="inlineStr">
        <is>
          <t>AAP</t>
        </is>
      </c>
      <c r="K162" s="24" t="n">
        <v>-46</v>
      </c>
      <c r="L162" s="27">
        <f>I162-F162</f>
        <v/>
      </c>
      <c r="M162" s="24" t="n">
        <v>45</v>
      </c>
      <c r="N162" s="24" t="n">
        <v>298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23" t="inlineStr">
        <is>
          <t>Won Both Times (Stronghold)</t>
        </is>
      </c>
      <c r="E163" s="31" t="n">
        <v>244</v>
      </c>
      <c r="F163" s="32">
        <f>244/459</f>
        <v/>
      </c>
      <c r="G163" s="33" t="inlineStr">
        <is>
          <t>INC</t>
        </is>
      </c>
      <c r="H163" s="31" t="n">
        <v>168</v>
      </c>
      <c r="I163" s="32">
        <f>168/402</f>
        <v/>
      </c>
      <c r="J163" s="33" t="inlineStr">
        <is>
          <t>INC</t>
        </is>
      </c>
      <c r="K163" s="31" t="n">
        <v>-76</v>
      </c>
      <c r="L163" s="34">
        <f>I163-F163</f>
        <v/>
      </c>
      <c r="M163" s="31" t="n">
        <v>14</v>
      </c>
      <c r="N163" s="31" t="n">
        <v>402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35" t="inlineStr">
        <is>
          <t>Gained in 2024 (New Win)</t>
        </is>
      </c>
      <c r="E164" s="24" t="n">
        <v>279</v>
      </c>
      <c r="F164" s="25">
        <f>279/829</f>
        <v/>
      </c>
      <c r="G164" s="26" t="inlineStr">
        <is>
          <t>SAD</t>
        </is>
      </c>
      <c r="H164" s="24" t="n">
        <v>295</v>
      </c>
      <c r="I164" s="25">
        <f>295/748</f>
        <v/>
      </c>
      <c r="J164" s="26" t="inlineStr">
        <is>
          <t>INC</t>
        </is>
      </c>
      <c r="K164" s="24" t="n">
        <v>16</v>
      </c>
      <c r="L164" s="27">
        <f>I164-F164</f>
        <v/>
      </c>
      <c r="M164" s="24" t="n">
        <v>61</v>
      </c>
      <c r="N164" s="24" t="n">
        <v>748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35" t="inlineStr">
        <is>
          <t>Gained in 2024 (New Win)</t>
        </is>
      </c>
      <c r="E165" s="31" t="n">
        <v>218</v>
      </c>
      <c r="F165" s="32">
        <f>218/758</f>
        <v/>
      </c>
      <c r="G165" s="33" t="inlineStr">
        <is>
          <t>AAP</t>
        </is>
      </c>
      <c r="H165" s="31" t="n">
        <v>228</v>
      </c>
      <c r="I165" s="32">
        <f>228/524</f>
        <v/>
      </c>
      <c r="J165" s="33" t="inlineStr">
        <is>
          <t>INC</t>
        </is>
      </c>
      <c r="K165" s="31" t="n">
        <v>10</v>
      </c>
      <c r="L165" s="34">
        <f>I165-F165</f>
        <v/>
      </c>
      <c r="M165" s="31" t="n">
        <v>131</v>
      </c>
      <c r="N165" s="31" t="n">
        <v>524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35" t="inlineStr">
        <is>
          <t>Gained in 2024 (New Win)</t>
        </is>
      </c>
      <c r="E166" s="24" t="n">
        <v>211</v>
      </c>
      <c r="F166" s="25">
        <f>211/654</f>
        <v/>
      </c>
      <c r="G166" s="26" t="inlineStr">
        <is>
          <t>AAP</t>
        </is>
      </c>
      <c r="H166" s="24" t="n">
        <v>254</v>
      </c>
      <c r="I166" s="25">
        <f>254/458</f>
        <v/>
      </c>
      <c r="J166" s="26" t="inlineStr">
        <is>
          <t>INC</t>
        </is>
      </c>
      <c r="K166" s="24" t="n">
        <v>43</v>
      </c>
      <c r="L166" s="27">
        <f>I166-F166</f>
        <v/>
      </c>
      <c r="M166" s="24" t="n">
        <v>192</v>
      </c>
      <c r="N166" s="24" t="n">
        <v>458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35" t="inlineStr">
        <is>
          <t>Gained in 2024 (New Win)</t>
        </is>
      </c>
      <c r="E167" s="31" t="n">
        <v>222</v>
      </c>
      <c r="F167" s="32">
        <f>222/771</f>
        <v/>
      </c>
      <c r="G167" s="33" t="inlineStr">
        <is>
          <t>AAP</t>
        </is>
      </c>
      <c r="H167" s="31" t="n">
        <v>255</v>
      </c>
      <c r="I167" s="32">
        <f>255/529</f>
        <v/>
      </c>
      <c r="J167" s="33" t="inlineStr">
        <is>
          <t>INC</t>
        </is>
      </c>
      <c r="K167" s="31" t="n">
        <v>33</v>
      </c>
      <c r="L167" s="34">
        <f>I167-F167</f>
        <v/>
      </c>
      <c r="M167" s="31" t="n">
        <v>164</v>
      </c>
      <c r="N167" s="31" t="n">
        <v>529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35" t="inlineStr">
        <is>
          <t>Gained in 2024 (New Win)</t>
        </is>
      </c>
      <c r="E168" s="24" t="n">
        <v>237</v>
      </c>
      <c r="F168" s="25">
        <f>237/852</f>
        <v/>
      </c>
      <c r="G168" s="26" t="inlineStr">
        <is>
          <t>AAP</t>
        </is>
      </c>
      <c r="H168" s="24" t="n">
        <v>246</v>
      </c>
      <c r="I168" s="25">
        <f>246/565</f>
        <v/>
      </c>
      <c r="J168" s="26" t="inlineStr">
        <is>
          <t>INC</t>
        </is>
      </c>
      <c r="K168" s="24" t="n">
        <v>9</v>
      </c>
      <c r="L168" s="27">
        <f>I168-F168</f>
        <v/>
      </c>
      <c r="M168" s="24" t="n">
        <v>136</v>
      </c>
      <c r="N168" s="24" t="n">
        <v>565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30" t="inlineStr">
        <is>
          <t>Lost Both Times (Deficit)</t>
        </is>
      </c>
      <c r="E169" s="31" t="n">
        <v>221</v>
      </c>
      <c r="F169" s="32">
        <f>221/549</f>
        <v/>
      </c>
      <c r="G169" s="33" t="inlineStr">
        <is>
          <t>SAD</t>
        </is>
      </c>
      <c r="H169" s="31" t="n">
        <v>139</v>
      </c>
      <c r="I169" s="32">
        <f>139/505</f>
        <v/>
      </c>
      <c r="J169" s="33" t="inlineStr">
        <is>
          <t>SAD</t>
        </is>
      </c>
      <c r="K169" s="31" t="n">
        <v>-82</v>
      </c>
      <c r="L169" s="34">
        <f>I169-F169</f>
        <v/>
      </c>
      <c r="M169" s="31" t="n">
        <v>80</v>
      </c>
      <c r="N169" s="31" t="n">
        <v>505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23" t="inlineStr">
        <is>
          <t>Won Both Times (Stronghold)</t>
        </is>
      </c>
      <c r="E170" s="24" t="n">
        <v>273</v>
      </c>
      <c r="F170" s="25">
        <f>273/614</f>
        <v/>
      </c>
      <c r="G170" s="26" t="inlineStr">
        <is>
          <t>INC</t>
        </is>
      </c>
      <c r="H170" s="24" t="n">
        <v>211</v>
      </c>
      <c r="I170" s="25">
        <f>211/563</f>
        <v/>
      </c>
      <c r="J170" s="26" t="inlineStr">
        <is>
          <t>INC</t>
        </is>
      </c>
      <c r="K170" s="24" t="n">
        <v>-62</v>
      </c>
      <c r="L170" s="27">
        <f>I170-F170</f>
        <v/>
      </c>
      <c r="M170" s="24" t="n">
        <v>7</v>
      </c>
      <c r="N170" s="24" t="n">
        <v>563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23" t="inlineStr">
        <is>
          <t>Won Both Times (Stronghold)</t>
        </is>
      </c>
      <c r="E171" s="31" t="n">
        <v>442</v>
      </c>
      <c r="F171" s="32">
        <f>442/811</f>
        <v/>
      </c>
      <c r="G171" s="33" t="inlineStr">
        <is>
          <t>INC</t>
        </is>
      </c>
      <c r="H171" s="31" t="n">
        <v>245</v>
      </c>
      <c r="I171" s="32">
        <f>245/687</f>
        <v/>
      </c>
      <c r="J171" s="33" t="inlineStr">
        <is>
          <t>INC</t>
        </is>
      </c>
      <c r="K171" s="31" t="n">
        <v>-197</v>
      </c>
      <c r="L171" s="34">
        <f>I171-F171</f>
        <v/>
      </c>
      <c r="M171" s="31" t="n">
        <v>35</v>
      </c>
      <c r="N171" s="31" t="n">
        <v>687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30" t="inlineStr">
        <is>
          <t>Lost Both Times (Deficit)</t>
        </is>
      </c>
      <c r="E172" s="24" t="n">
        <v>100</v>
      </c>
      <c r="F172" s="25">
        <f>100/422</f>
        <v/>
      </c>
      <c r="G172" s="26" t="inlineStr">
        <is>
          <t>AAP</t>
        </is>
      </c>
      <c r="H172" s="24" t="n">
        <v>102</v>
      </c>
      <c r="I172" s="25">
        <f>102/336</f>
        <v/>
      </c>
      <c r="J172" s="26" t="inlineStr">
        <is>
          <t>AAP</t>
        </is>
      </c>
      <c r="K172" s="24" t="n">
        <v>2</v>
      </c>
      <c r="L172" s="27">
        <f>I172-F172</f>
        <v/>
      </c>
      <c r="M172" s="24" t="n">
        <v>2</v>
      </c>
      <c r="N172" s="24" t="n">
        <v>336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37" t="inlineStr">
        <is>
          <t>Lost in 2024 (to AAP)</t>
        </is>
      </c>
      <c r="E173" s="31" t="n">
        <v>304</v>
      </c>
      <c r="F173" s="32">
        <f>304/677</f>
        <v/>
      </c>
      <c r="G173" s="33" t="inlineStr">
        <is>
          <t>INC</t>
        </is>
      </c>
      <c r="H173" s="31" t="n">
        <v>41</v>
      </c>
      <c r="I173" s="32">
        <f>41/548</f>
        <v/>
      </c>
      <c r="J173" s="33" t="inlineStr">
        <is>
          <t>AAP</t>
        </is>
      </c>
      <c r="K173" s="31" t="n">
        <v>-263</v>
      </c>
      <c r="L173" s="34">
        <f>I173-F173</f>
        <v/>
      </c>
      <c r="M173" s="31" t="n">
        <v>164</v>
      </c>
      <c r="N173" s="31" t="n">
        <v>548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37" t="inlineStr">
        <is>
          <t>Lost in 2024 (to AAP)</t>
        </is>
      </c>
      <c r="E174" s="24" t="n">
        <v>333</v>
      </c>
      <c r="F174" s="25">
        <f>333/662</f>
        <v/>
      </c>
      <c r="G174" s="26" t="inlineStr">
        <is>
          <t>INC</t>
        </is>
      </c>
      <c r="H174" s="24" t="n">
        <v>70</v>
      </c>
      <c r="I174" s="25">
        <f>70/486</f>
        <v/>
      </c>
      <c r="J174" s="26" t="inlineStr">
        <is>
          <t>AAP</t>
        </is>
      </c>
      <c r="K174" s="24" t="n">
        <v>-263</v>
      </c>
      <c r="L174" s="27">
        <f>I174-F174</f>
        <v/>
      </c>
      <c r="M174" s="24" t="n">
        <v>110</v>
      </c>
      <c r="N174" s="24" t="n">
        <v>486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37" t="inlineStr">
        <is>
          <t>Lost in 2024 (to AAP)</t>
        </is>
      </c>
      <c r="E175" s="31" t="n">
        <v>341</v>
      </c>
      <c r="F175" s="32">
        <f>341/906</f>
        <v/>
      </c>
      <c r="G175" s="33" t="inlineStr">
        <is>
          <t>INC</t>
        </is>
      </c>
      <c r="H175" s="31" t="n">
        <v>196</v>
      </c>
      <c r="I175" s="32">
        <f>196/755</f>
        <v/>
      </c>
      <c r="J175" s="33" t="inlineStr">
        <is>
          <t>AAP</t>
        </is>
      </c>
      <c r="K175" s="31" t="n">
        <v>-145</v>
      </c>
      <c r="L175" s="34">
        <f>I175-F175</f>
        <v/>
      </c>
      <c r="M175" s="31" t="n">
        <v>91</v>
      </c>
      <c r="N175" s="31" t="n">
        <v>755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36" t="inlineStr">
        <is>
          <t>Weak Booth (&lt; 20% Share)</t>
        </is>
      </c>
      <c r="E176" s="24" t="n">
        <v>107</v>
      </c>
      <c r="F176" s="25">
        <f>107/436</f>
        <v/>
      </c>
      <c r="G176" s="26" t="inlineStr">
        <is>
          <t>AAP</t>
        </is>
      </c>
      <c r="H176" s="24" t="n">
        <v>45</v>
      </c>
      <c r="I176" s="25">
        <f>45/325</f>
        <v/>
      </c>
      <c r="J176" s="26" t="inlineStr">
        <is>
          <t>AAP</t>
        </is>
      </c>
      <c r="K176" s="24" t="n">
        <v>-62</v>
      </c>
      <c r="L176" s="27">
        <f>I176-F176</f>
        <v/>
      </c>
      <c r="M176" s="24" t="n">
        <v>71</v>
      </c>
      <c r="N176" s="24" t="n">
        <v>325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30" t="inlineStr">
        <is>
          <t>Lost Both Times (Deficit)</t>
        </is>
      </c>
      <c r="E177" s="31" t="n">
        <v>168</v>
      </c>
      <c r="F177" s="32">
        <f>168/526</f>
        <v/>
      </c>
      <c r="G177" s="33" t="inlineStr">
        <is>
          <t>AAP</t>
        </is>
      </c>
      <c r="H177" s="31" t="n">
        <v>102</v>
      </c>
      <c r="I177" s="32">
        <f>102/452</f>
        <v/>
      </c>
      <c r="J177" s="33" t="inlineStr">
        <is>
          <t>AAP</t>
        </is>
      </c>
      <c r="K177" s="31" t="n">
        <v>-66</v>
      </c>
      <c r="L177" s="34">
        <f>I177-F177</f>
        <v/>
      </c>
      <c r="M177" s="31" t="n">
        <v>90</v>
      </c>
      <c r="N177" s="31" t="n">
        <v>452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36" t="inlineStr">
        <is>
          <t>Weak Booth (&lt; 20% Share)</t>
        </is>
      </c>
      <c r="E178" s="24" t="n">
        <v>167</v>
      </c>
      <c r="F178" s="25">
        <f>167/537</f>
        <v/>
      </c>
      <c r="G178" s="26" t="inlineStr">
        <is>
          <t>SAD</t>
        </is>
      </c>
      <c r="H178" s="24" t="n">
        <v>90</v>
      </c>
      <c r="I178" s="25">
        <f>90/457</f>
        <v/>
      </c>
      <c r="J178" s="26" t="inlineStr">
        <is>
          <t>AAP</t>
        </is>
      </c>
      <c r="K178" s="24" t="n">
        <v>-77</v>
      </c>
      <c r="L178" s="27">
        <f>I178-F178</f>
        <v/>
      </c>
      <c r="M178" s="24" t="n">
        <v>52</v>
      </c>
      <c r="N178" s="24" t="n">
        <v>457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37" t="inlineStr">
        <is>
          <t>Lost in 2024 (to AAP)</t>
        </is>
      </c>
      <c r="E179" s="31" t="n">
        <v>134</v>
      </c>
      <c r="F179" s="32">
        <f>134/341</f>
        <v/>
      </c>
      <c r="G179" s="33" t="inlineStr">
        <is>
          <t>INC</t>
        </is>
      </c>
      <c r="H179" s="31" t="n">
        <v>112</v>
      </c>
      <c r="I179" s="32">
        <f>112/300</f>
        <v/>
      </c>
      <c r="J179" s="33" t="inlineStr">
        <is>
          <t>AAP</t>
        </is>
      </c>
      <c r="K179" s="31" t="n">
        <v>-22</v>
      </c>
      <c r="L179" s="34">
        <f>I179-F179</f>
        <v/>
      </c>
      <c r="M179" s="31" t="n">
        <v>44</v>
      </c>
      <c r="N179" s="31" t="n">
        <v>300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30" t="inlineStr">
        <is>
          <t>Lost Both Times (Deficit)</t>
        </is>
      </c>
      <c r="E180" s="24" t="n">
        <v>212</v>
      </c>
      <c r="F180" s="25">
        <f>212/723</f>
        <v/>
      </c>
      <c r="G180" s="26" t="inlineStr">
        <is>
          <t>AAP</t>
        </is>
      </c>
      <c r="H180" s="24" t="n">
        <v>182</v>
      </c>
      <c r="I180" s="25">
        <f>182/480</f>
        <v/>
      </c>
      <c r="J180" s="26" t="inlineStr">
        <is>
          <t>AAP</t>
        </is>
      </c>
      <c r="K180" s="24" t="n">
        <v>-30</v>
      </c>
      <c r="L180" s="27">
        <f>I180-F180</f>
        <v/>
      </c>
      <c r="M180" s="24" t="n">
        <v>62</v>
      </c>
      <c r="N180" s="24" t="n">
        <v>480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37" t="inlineStr">
        <is>
          <t>Lost in 2024 (to AAP)</t>
        </is>
      </c>
      <c r="E181" s="31" t="n">
        <v>232</v>
      </c>
      <c r="F181" s="32">
        <f>232/527</f>
        <v/>
      </c>
      <c r="G181" s="33" t="inlineStr">
        <is>
          <t>INC</t>
        </is>
      </c>
      <c r="H181" s="31" t="n">
        <v>172</v>
      </c>
      <c r="I181" s="32">
        <f>172/417</f>
        <v/>
      </c>
      <c r="J181" s="33" t="inlineStr">
        <is>
          <t>AAP</t>
        </is>
      </c>
      <c r="K181" s="31" t="n">
        <v>-60</v>
      </c>
      <c r="L181" s="34">
        <f>I181-F181</f>
        <v/>
      </c>
      <c r="M181" s="31" t="n">
        <v>22</v>
      </c>
      <c r="N181" s="31" t="n">
        <v>417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23" t="inlineStr">
        <is>
          <t>Won Both Times (Stronghold)</t>
        </is>
      </c>
      <c r="E182" s="24" t="n">
        <v>252</v>
      </c>
      <c r="F182" s="25">
        <f>252/477</f>
        <v/>
      </c>
      <c r="G182" s="26" t="inlineStr">
        <is>
          <t>INC</t>
        </is>
      </c>
      <c r="H182" s="24" t="n">
        <v>326</v>
      </c>
      <c r="I182" s="25">
        <f>326/620</f>
        <v/>
      </c>
      <c r="J182" s="26" t="inlineStr">
        <is>
          <t>INC</t>
        </is>
      </c>
      <c r="K182" s="24" t="n">
        <v>74</v>
      </c>
      <c r="L182" s="27">
        <f>I182-F182</f>
        <v/>
      </c>
      <c r="M182" s="24" t="n">
        <v>195</v>
      </c>
      <c r="N182" s="24" t="n">
        <v>620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30" t="inlineStr">
        <is>
          <t>Lost Both Times (Deficit)</t>
        </is>
      </c>
      <c r="E183" s="31" t="n">
        <v>191</v>
      </c>
      <c r="F183" s="32">
        <f>191/631</f>
        <v/>
      </c>
      <c r="G183" s="33" t="inlineStr">
        <is>
          <t>SAD</t>
        </is>
      </c>
      <c r="H183" s="31" t="n">
        <v>173</v>
      </c>
      <c r="I183" s="32">
        <f>173/513</f>
        <v/>
      </c>
      <c r="J183" s="33" t="inlineStr">
        <is>
          <t>AAP</t>
        </is>
      </c>
      <c r="K183" s="31" t="n">
        <v>-18</v>
      </c>
      <c r="L183" s="34">
        <f>I183-F183</f>
        <v/>
      </c>
      <c r="M183" s="31" t="n">
        <v>67</v>
      </c>
      <c r="N183" s="31" t="n">
        <v>513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23" t="inlineStr">
        <is>
          <t>Won Both Times (Stronghold)</t>
        </is>
      </c>
      <c r="E184" s="24" t="n">
        <v>184</v>
      </c>
      <c r="F184" s="25">
        <f>184/432</f>
        <v/>
      </c>
      <c r="G184" s="26" t="inlineStr">
        <is>
          <t>INC</t>
        </is>
      </c>
      <c r="H184" s="24" t="n">
        <v>139</v>
      </c>
      <c r="I184" s="25">
        <f>139/355</f>
        <v/>
      </c>
      <c r="J184" s="26" t="inlineStr">
        <is>
          <t>INC</t>
        </is>
      </c>
      <c r="K184" s="24" t="n">
        <v>-45</v>
      </c>
      <c r="L184" s="27">
        <f>I184-F184</f>
        <v/>
      </c>
      <c r="M184" s="24" t="n">
        <v>25</v>
      </c>
      <c r="N184" s="24" t="n">
        <v>355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37" t="inlineStr">
        <is>
          <t>Lost in 2024 (to AAP)</t>
        </is>
      </c>
      <c r="E185" s="31" t="n">
        <v>303</v>
      </c>
      <c r="F185" s="32">
        <f>303/686</f>
        <v/>
      </c>
      <c r="G185" s="33" t="inlineStr">
        <is>
          <t>INC</t>
        </is>
      </c>
      <c r="H185" s="31" t="n">
        <v>148</v>
      </c>
      <c r="I185" s="32">
        <f>148/567</f>
        <v/>
      </c>
      <c r="J185" s="33" t="inlineStr">
        <is>
          <t>AAP</t>
        </is>
      </c>
      <c r="K185" s="31" t="n">
        <v>-155</v>
      </c>
      <c r="L185" s="34">
        <f>I185-F185</f>
        <v/>
      </c>
      <c r="M185" s="31" t="n">
        <v>61</v>
      </c>
      <c r="N185" s="31" t="n">
        <v>567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23" t="inlineStr">
        <is>
          <t>Won Both Times (Stronghold)</t>
        </is>
      </c>
      <c r="E186" s="24" t="n">
        <v>310</v>
      </c>
      <c r="F186" s="25">
        <f>310/757</f>
        <v/>
      </c>
      <c r="G186" s="26" t="inlineStr">
        <is>
          <t>INC</t>
        </is>
      </c>
      <c r="H186" s="24" t="n">
        <v>180</v>
      </c>
      <c r="I186" s="25">
        <f>180/602</f>
        <v/>
      </c>
      <c r="J186" s="26" t="inlineStr">
        <is>
          <t>INC</t>
        </is>
      </c>
      <c r="K186" s="24" t="n">
        <v>-130</v>
      </c>
      <c r="L186" s="27">
        <f>I186-F186</f>
        <v/>
      </c>
      <c r="M186" s="24" t="n">
        <v>4</v>
      </c>
      <c r="N186" s="24" t="n">
        <v>602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35" t="inlineStr">
        <is>
          <t>Gained in 2024 (New Win)</t>
        </is>
      </c>
      <c r="E187" s="31" t="n">
        <v>313</v>
      </c>
      <c r="F187" s="32">
        <f>313/810</f>
        <v/>
      </c>
      <c r="G187" s="33" t="inlineStr">
        <is>
          <t>SAD</t>
        </is>
      </c>
      <c r="H187" s="31" t="n">
        <v>260</v>
      </c>
      <c r="I187" s="32">
        <f>260/672</f>
        <v/>
      </c>
      <c r="J187" s="33" t="inlineStr">
        <is>
          <t>INC</t>
        </is>
      </c>
      <c r="K187" s="31" t="n">
        <v>-53</v>
      </c>
      <c r="L187" s="34">
        <f>I187-F187</f>
        <v/>
      </c>
      <c r="M187" s="31" t="n">
        <v>3</v>
      </c>
      <c r="N187" s="31" t="n">
        <v>672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23" t="inlineStr">
        <is>
          <t>Won Both Times (Stronghold)</t>
        </is>
      </c>
      <c r="E188" s="24" t="n">
        <v>283</v>
      </c>
      <c r="F188" s="25">
        <f>283/532</f>
        <v/>
      </c>
      <c r="G188" s="26" t="inlineStr">
        <is>
          <t>INC</t>
        </is>
      </c>
      <c r="H188" s="24" t="n">
        <v>191</v>
      </c>
      <c r="I188" s="25">
        <f>191/427</f>
        <v/>
      </c>
      <c r="J188" s="26" t="inlineStr">
        <is>
          <t>INC</t>
        </is>
      </c>
      <c r="K188" s="24" t="n">
        <v>-92</v>
      </c>
      <c r="L188" s="27">
        <f>I188-F188</f>
        <v/>
      </c>
      <c r="M188" s="24" t="n">
        <v>49</v>
      </c>
      <c r="N188" s="24" t="n">
        <v>427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23" t="inlineStr">
        <is>
          <t>Won Both Times (Stronghold)</t>
        </is>
      </c>
      <c r="E189" s="31" t="n">
        <v>278</v>
      </c>
      <c r="F189" s="32">
        <f>278/558</f>
        <v/>
      </c>
      <c r="G189" s="33" t="inlineStr">
        <is>
          <t>INC</t>
        </is>
      </c>
      <c r="H189" s="31" t="n">
        <v>170</v>
      </c>
      <c r="I189" s="32">
        <f>170/465</f>
        <v/>
      </c>
      <c r="J189" s="33" t="inlineStr">
        <is>
          <t>INC</t>
        </is>
      </c>
      <c r="K189" s="31" t="n">
        <v>-108</v>
      </c>
      <c r="L189" s="34">
        <f>I189-F189</f>
        <v/>
      </c>
      <c r="M189" s="31" t="n">
        <v>33</v>
      </c>
      <c r="N189" s="31" t="n">
        <v>465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35" t="inlineStr">
        <is>
          <t>Gained in 2024 (New Win)</t>
        </is>
      </c>
      <c r="E190" s="24" t="n">
        <v>295</v>
      </c>
      <c r="F190" s="25">
        <f>295/801</f>
        <v/>
      </c>
      <c r="G190" s="26" t="inlineStr">
        <is>
          <t>SAD</t>
        </is>
      </c>
      <c r="H190" s="24" t="n">
        <v>354</v>
      </c>
      <c r="I190" s="25">
        <f>354/690</f>
        <v/>
      </c>
      <c r="J190" s="26" t="inlineStr">
        <is>
          <t>INC</t>
        </is>
      </c>
      <c r="K190" s="24" t="n">
        <v>59</v>
      </c>
      <c r="L190" s="27">
        <f>I190-F190</f>
        <v/>
      </c>
      <c r="M190" s="24" t="n">
        <v>217</v>
      </c>
      <c r="N190" s="24" t="n">
        <v>690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23" t="inlineStr">
        <is>
          <t>Won Both Times (Stronghold)</t>
        </is>
      </c>
      <c r="E191" s="31" t="n">
        <v>382</v>
      </c>
      <c r="F191" s="32">
        <f>382/723</f>
        <v/>
      </c>
      <c r="G191" s="33" t="inlineStr">
        <is>
          <t>INC</t>
        </is>
      </c>
      <c r="H191" s="31" t="n">
        <v>302</v>
      </c>
      <c r="I191" s="32">
        <f>302/613</f>
        <v/>
      </c>
      <c r="J191" s="33" t="inlineStr">
        <is>
          <t>INC</t>
        </is>
      </c>
      <c r="K191" s="31" t="n">
        <v>-80</v>
      </c>
      <c r="L191" s="34">
        <f>I191-F191</f>
        <v/>
      </c>
      <c r="M191" s="31" t="n">
        <v>65</v>
      </c>
      <c r="N191" s="31" t="n">
        <v>613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23" t="inlineStr">
        <is>
          <t>Won Both Times (Stronghold)</t>
        </is>
      </c>
      <c r="E192" s="24" t="n">
        <v>233</v>
      </c>
      <c r="F192" s="25">
        <f>233/316</f>
        <v/>
      </c>
      <c r="G192" s="26" t="inlineStr">
        <is>
          <t>INC</t>
        </is>
      </c>
      <c r="H192" s="24" t="n">
        <v>185</v>
      </c>
      <c r="I192" s="25">
        <f>185/354</f>
        <v/>
      </c>
      <c r="J192" s="26" t="inlineStr">
        <is>
          <t>INC</t>
        </is>
      </c>
      <c r="K192" s="24" t="n">
        <v>-48</v>
      </c>
      <c r="L192" s="27">
        <f>I192-F192</f>
        <v/>
      </c>
      <c r="M192" s="24" t="n">
        <v>36</v>
      </c>
      <c r="N192" s="24" t="n">
        <v>354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37" t="inlineStr">
        <is>
          <t>Lost in 2024 (to AAP)</t>
        </is>
      </c>
      <c r="E193" s="31" t="n">
        <v>355</v>
      </c>
      <c r="F193" s="32">
        <f>355/561</f>
        <v/>
      </c>
      <c r="G193" s="33" t="inlineStr">
        <is>
          <t>INC</t>
        </is>
      </c>
      <c r="H193" s="31" t="n">
        <v>92</v>
      </c>
      <c r="I193" s="32">
        <f>92/524</f>
        <v/>
      </c>
      <c r="J193" s="33" t="inlineStr">
        <is>
          <t>AAP</t>
        </is>
      </c>
      <c r="K193" s="31" t="n">
        <v>-263</v>
      </c>
      <c r="L193" s="34">
        <f>I193-F193</f>
        <v/>
      </c>
      <c r="M193" s="31" t="n">
        <v>256</v>
      </c>
      <c r="N193" s="31" t="n">
        <v>524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37" t="inlineStr">
        <is>
          <t>Lost in 2024 (to AAP)</t>
        </is>
      </c>
      <c r="E194" s="24" t="n">
        <v>255</v>
      </c>
      <c r="F194" s="25">
        <f>255/525</f>
        <v/>
      </c>
      <c r="G194" s="26" t="inlineStr">
        <is>
          <t>INC</t>
        </is>
      </c>
      <c r="H194" s="24" t="n">
        <v>72</v>
      </c>
      <c r="I194" s="25">
        <f>72/523</f>
        <v/>
      </c>
      <c r="J194" s="26" t="inlineStr">
        <is>
          <t>AAP</t>
        </is>
      </c>
      <c r="K194" s="24" t="n">
        <v>-183</v>
      </c>
      <c r="L194" s="27">
        <f>I194-F194</f>
        <v/>
      </c>
      <c r="M194" s="24" t="n">
        <v>193</v>
      </c>
      <c r="N194" s="24" t="n">
        <v>523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35" t="inlineStr">
        <is>
          <t>Gained in 2024 (New Win)</t>
        </is>
      </c>
      <c r="E195" s="31" t="n">
        <v>223</v>
      </c>
      <c r="F195" s="32">
        <f>223/594</f>
        <v/>
      </c>
      <c r="G195" s="33" t="inlineStr">
        <is>
          <t>SAD</t>
        </is>
      </c>
      <c r="H195" s="31" t="n">
        <v>200</v>
      </c>
      <c r="I195" s="32">
        <f>200/539</f>
        <v/>
      </c>
      <c r="J195" s="33" t="inlineStr">
        <is>
          <t>INC</t>
        </is>
      </c>
      <c r="K195" s="31" t="n">
        <v>-23</v>
      </c>
      <c r="L195" s="34">
        <f>I195-F195</f>
        <v/>
      </c>
      <c r="M195" s="31" t="n">
        <v>72</v>
      </c>
      <c r="N195" s="31" t="n">
        <v>539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23" t="inlineStr">
        <is>
          <t>Won Both Times (Stronghold)</t>
        </is>
      </c>
      <c r="E196" s="24" t="n">
        <v>315</v>
      </c>
      <c r="F196" s="25">
        <f>315/792</f>
        <v/>
      </c>
      <c r="G196" s="26" t="inlineStr">
        <is>
          <t>INC</t>
        </is>
      </c>
      <c r="H196" s="24" t="n">
        <v>226</v>
      </c>
      <c r="I196" s="25">
        <f>226/769</f>
        <v/>
      </c>
      <c r="J196" s="26" t="inlineStr">
        <is>
          <t>INC</t>
        </is>
      </c>
      <c r="K196" s="24" t="n">
        <v>-89</v>
      </c>
      <c r="L196" s="27">
        <f>I196-F196</f>
        <v/>
      </c>
      <c r="M196" s="24" t="n">
        <v>29</v>
      </c>
      <c r="N196" s="24" t="n">
        <v>769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23" t="inlineStr">
        <is>
          <t>Won Both Times (Stronghold)</t>
        </is>
      </c>
      <c r="E197" s="31" t="n">
        <v>193</v>
      </c>
      <c r="F197" s="32">
        <f>193/434</f>
        <v/>
      </c>
      <c r="G197" s="33" t="inlineStr">
        <is>
          <t>INC</t>
        </is>
      </c>
      <c r="H197" s="31" t="n">
        <v>173</v>
      </c>
      <c r="I197" s="32">
        <f>173/412</f>
        <v/>
      </c>
      <c r="J197" s="33" t="inlineStr">
        <is>
          <t>INC</t>
        </is>
      </c>
      <c r="K197" s="31" t="n">
        <v>-20</v>
      </c>
      <c r="L197" s="34">
        <f>I197-F197</f>
        <v/>
      </c>
      <c r="M197" s="31" t="n">
        <v>81</v>
      </c>
      <c r="N197" s="31" t="n">
        <v>412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23" t="inlineStr">
        <is>
          <t>Won Both Times (Stronghold)</t>
        </is>
      </c>
      <c r="E198" s="24" t="n">
        <v>263</v>
      </c>
      <c r="F198" s="25">
        <f>263/560</f>
        <v/>
      </c>
      <c r="G198" s="26" t="inlineStr">
        <is>
          <t>INC</t>
        </is>
      </c>
      <c r="H198" s="24" t="n">
        <v>175</v>
      </c>
      <c r="I198" s="25">
        <f>175/480</f>
        <v/>
      </c>
      <c r="J198" s="26" t="inlineStr">
        <is>
          <t>INC</t>
        </is>
      </c>
      <c r="K198" s="24" t="n">
        <v>-88</v>
      </c>
      <c r="L198" s="27">
        <f>I198-F198</f>
        <v/>
      </c>
      <c r="M198" s="24" t="n">
        <v>45</v>
      </c>
      <c r="N198" s="24" t="n">
        <v>480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23" t="inlineStr">
        <is>
          <t>Won Both Times (Stronghold)</t>
        </is>
      </c>
      <c r="E199" s="31" t="n">
        <v>213</v>
      </c>
      <c r="F199" s="32">
        <f>213/600</f>
        <v/>
      </c>
      <c r="G199" s="33" t="inlineStr">
        <is>
          <t>INC</t>
        </is>
      </c>
      <c r="H199" s="31" t="n">
        <v>190</v>
      </c>
      <c r="I199" s="32">
        <f>190/505</f>
        <v/>
      </c>
      <c r="J199" s="33" t="inlineStr">
        <is>
          <t>INC</t>
        </is>
      </c>
      <c r="K199" s="31" t="n">
        <v>-23</v>
      </c>
      <c r="L199" s="34">
        <f>I199-F199</f>
        <v/>
      </c>
      <c r="M199" s="31" t="n">
        <v>91</v>
      </c>
      <c r="N199" s="31" t="n">
        <v>505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23" t="inlineStr">
        <is>
          <t>Won Both Times (Stronghold)</t>
        </is>
      </c>
      <c r="E200" s="24" t="n">
        <v>178</v>
      </c>
      <c r="F200" s="25">
        <f>178/447</f>
        <v/>
      </c>
      <c r="G200" s="26" t="inlineStr">
        <is>
          <t>INC</t>
        </is>
      </c>
      <c r="H200" s="24" t="n">
        <v>205</v>
      </c>
      <c r="I200" s="25">
        <f>205/396</f>
        <v/>
      </c>
      <c r="J200" s="26" t="inlineStr">
        <is>
          <t>INC</t>
        </is>
      </c>
      <c r="K200" s="24" t="n">
        <v>27</v>
      </c>
      <c r="L200" s="27">
        <f>I200-F200</f>
        <v/>
      </c>
      <c r="M200" s="24" t="n">
        <v>123</v>
      </c>
      <c r="N200" s="24" t="n">
        <v>396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30" t="inlineStr">
        <is>
          <t>Lost Both Times (Deficit)</t>
        </is>
      </c>
      <c r="E201" s="31" t="n">
        <v>105</v>
      </c>
      <c r="F201" s="32">
        <f>105/524</f>
        <v/>
      </c>
      <c r="G201" s="33" t="inlineStr">
        <is>
          <t>AAP</t>
        </is>
      </c>
      <c r="H201" s="31" t="n">
        <v>109</v>
      </c>
      <c r="I201" s="32">
        <f>109/421</f>
        <v/>
      </c>
      <c r="J201" s="33" t="inlineStr">
        <is>
          <t>AAP</t>
        </is>
      </c>
      <c r="K201" s="31" t="n">
        <v>4</v>
      </c>
      <c r="L201" s="34">
        <f>I201-F201</f>
        <v/>
      </c>
      <c r="M201" s="31" t="n">
        <v>6</v>
      </c>
      <c r="N201" s="31" t="n">
        <v>421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36" t="inlineStr">
        <is>
          <t>Weak Booth (&lt; 20% Share)</t>
        </is>
      </c>
      <c r="E202" s="24" t="n">
        <v>89</v>
      </c>
      <c r="F202" s="25">
        <f>89/549</f>
        <v/>
      </c>
      <c r="G202" s="26" t="inlineStr">
        <is>
          <t>AAP</t>
        </is>
      </c>
      <c r="H202" s="24" t="n">
        <v>88</v>
      </c>
      <c r="I202" s="25">
        <f>88/448</f>
        <v/>
      </c>
      <c r="J202" s="26" t="inlineStr">
        <is>
          <t>BJP</t>
        </is>
      </c>
      <c r="K202" s="24" t="n">
        <v>-1</v>
      </c>
      <c r="L202" s="27">
        <f>I202-F202</f>
        <v/>
      </c>
      <c r="M202" s="24" t="n">
        <v>43</v>
      </c>
      <c r="N202" s="24" t="n">
        <v>448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30" t="inlineStr">
        <is>
          <t>Lost Both Times (Deficit)</t>
        </is>
      </c>
      <c r="E203" s="31" t="n">
        <v>118</v>
      </c>
      <c r="F203" s="32">
        <f>118/576</f>
        <v/>
      </c>
      <c r="G203" s="33" t="inlineStr">
        <is>
          <t>AAP</t>
        </is>
      </c>
      <c r="H203" s="31" t="n">
        <v>131</v>
      </c>
      <c r="I203" s="32">
        <f>131/499</f>
        <v/>
      </c>
      <c r="J203" s="33" t="inlineStr">
        <is>
          <t>SAD</t>
        </is>
      </c>
      <c r="K203" s="31" t="n">
        <v>13</v>
      </c>
      <c r="L203" s="34">
        <f>I203-F203</f>
        <v/>
      </c>
      <c r="M203" s="31" t="n">
        <v>36</v>
      </c>
      <c r="N203" s="31" t="n">
        <v>499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30" t="inlineStr">
        <is>
          <t>Lost Both Times (Deficit)</t>
        </is>
      </c>
      <c r="E204" s="24" t="n">
        <v>95</v>
      </c>
      <c r="F204" s="25">
        <f>95/657</f>
        <v/>
      </c>
      <c r="G204" s="26" t="inlineStr">
        <is>
          <t>AAP</t>
        </is>
      </c>
      <c r="H204" s="24" t="n">
        <v>111</v>
      </c>
      <c r="I204" s="25">
        <f>111/523</f>
        <v/>
      </c>
      <c r="J204" s="26" t="inlineStr">
        <is>
          <t>SAD</t>
        </is>
      </c>
      <c r="K204" s="24" t="n">
        <v>16</v>
      </c>
      <c r="L204" s="27">
        <f>I204-F204</f>
        <v/>
      </c>
      <c r="M204" s="24" t="n">
        <v>23</v>
      </c>
      <c r="N204" s="24" t="n">
        <v>523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30" t="inlineStr">
        <is>
          <t>Lost Both Times (Deficit)</t>
        </is>
      </c>
      <c r="E205" s="31" t="n">
        <v>93</v>
      </c>
      <c r="F205" s="32">
        <f>93/685</f>
        <v/>
      </c>
      <c r="G205" s="33" t="inlineStr">
        <is>
          <t>BJP</t>
        </is>
      </c>
      <c r="H205" s="31" t="n">
        <v>110</v>
      </c>
      <c r="I205" s="32">
        <f>110/531</f>
        <v/>
      </c>
      <c r="J205" s="33" t="inlineStr">
        <is>
          <t>BJP</t>
        </is>
      </c>
      <c r="K205" s="31" t="n">
        <v>17</v>
      </c>
      <c r="L205" s="34">
        <f>I205-F205</f>
        <v/>
      </c>
      <c r="M205" s="31" t="n">
        <v>179</v>
      </c>
      <c r="N205" s="31" t="n">
        <v>531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35" t="inlineStr">
        <is>
          <t>Gained in 2024 (New Win)</t>
        </is>
      </c>
      <c r="E206" s="24" t="n">
        <v>116</v>
      </c>
      <c r="F206" s="25">
        <f>116/400</f>
        <v/>
      </c>
      <c r="G206" s="26" t="inlineStr">
        <is>
          <t>AAP</t>
        </is>
      </c>
      <c r="H206" s="24" t="n">
        <v>156</v>
      </c>
      <c r="I206" s="25">
        <f>156/368</f>
        <v/>
      </c>
      <c r="J206" s="26" t="inlineStr">
        <is>
          <t>INC</t>
        </is>
      </c>
      <c r="K206" s="24" t="n">
        <v>40</v>
      </c>
      <c r="L206" s="27">
        <f>I206-F206</f>
        <v/>
      </c>
      <c r="M206" s="24" t="n">
        <v>58</v>
      </c>
      <c r="N206" s="24" t="n">
        <v>368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37" t="inlineStr">
        <is>
          <t>Lost in 2024 (to AAP)</t>
        </is>
      </c>
      <c r="E207" s="31" t="n">
        <v>197</v>
      </c>
      <c r="F207" s="32">
        <f>197/564</f>
        <v/>
      </c>
      <c r="G207" s="33" t="inlineStr">
        <is>
          <t>INC</t>
        </is>
      </c>
      <c r="H207" s="31" t="n">
        <v>93</v>
      </c>
      <c r="I207" s="32">
        <f>93/488</f>
        <v/>
      </c>
      <c r="J207" s="33" t="inlineStr">
        <is>
          <t>AAP</t>
        </is>
      </c>
      <c r="K207" s="31" t="n">
        <v>-104</v>
      </c>
      <c r="L207" s="34">
        <f>I207-F207</f>
        <v/>
      </c>
      <c r="M207" s="31" t="n">
        <v>80</v>
      </c>
      <c r="N207" s="31" t="n">
        <v>488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23" t="inlineStr">
        <is>
          <t>Won Both Times (Stronghold)</t>
        </is>
      </c>
      <c r="E208" s="24" t="n">
        <v>114</v>
      </c>
      <c r="F208" s="25">
        <f>114/253</f>
        <v/>
      </c>
      <c r="G208" s="26" t="inlineStr">
        <is>
          <t>INC</t>
        </is>
      </c>
      <c r="H208" s="24" t="n">
        <v>112</v>
      </c>
      <c r="I208" s="25">
        <f>112/247</f>
        <v/>
      </c>
      <c r="J208" s="26" t="inlineStr">
        <is>
          <t>INC</t>
        </is>
      </c>
      <c r="K208" s="24" t="n">
        <v>-2</v>
      </c>
      <c r="L208" s="27">
        <f>I208-F208</f>
        <v/>
      </c>
      <c r="M208" s="24" t="n">
        <v>51</v>
      </c>
      <c r="N208" s="24" t="n">
        <v>247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23" t="inlineStr">
        <is>
          <t>Won Both Times (Stronghold)</t>
        </is>
      </c>
      <c r="E209" s="31" t="n">
        <v>180</v>
      </c>
      <c r="F209" s="32">
        <f>180/513</f>
        <v/>
      </c>
      <c r="G209" s="33" t="inlineStr">
        <is>
          <t>INC</t>
        </is>
      </c>
      <c r="H209" s="31" t="n">
        <v>222</v>
      </c>
      <c r="I209" s="32">
        <f>222/468</f>
        <v/>
      </c>
      <c r="J209" s="33" t="inlineStr">
        <is>
          <t>INC</t>
        </is>
      </c>
      <c r="K209" s="31" t="n">
        <v>42</v>
      </c>
      <c r="L209" s="34">
        <f>I209-F209</f>
        <v/>
      </c>
      <c r="M209" s="31" t="n">
        <v>129</v>
      </c>
      <c r="N209" s="31" t="n">
        <v>468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30" t="inlineStr">
        <is>
          <t>Lost Both Times (Deficit)</t>
        </is>
      </c>
      <c r="E210" s="24" t="n">
        <v>82</v>
      </c>
      <c r="F210" s="25">
        <f>82/385</f>
        <v/>
      </c>
      <c r="G210" s="26" t="inlineStr">
        <is>
          <t>SAD</t>
        </is>
      </c>
      <c r="H210" s="24" t="n">
        <v>122</v>
      </c>
      <c r="I210" s="25">
        <f>122/410</f>
        <v/>
      </c>
      <c r="J210" s="26" t="inlineStr">
        <is>
          <t>AAP</t>
        </is>
      </c>
      <c r="K210" s="24" t="n">
        <v>40</v>
      </c>
      <c r="L210" s="27">
        <f>I210-F210</f>
        <v/>
      </c>
      <c r="M210" s="24" t="n">
        <v>68</v>
      </c>
      <c r="N210" s="24" t="n">
        <v>410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36" t="inlineStr">
        <is>
          <t>Weak Booth (&lt; 20% Share)</t>
        </is>
      </c>
      <c r="E211" s="31" t="n">
        <v>91</v>
      </c>
      <c r="F211" s="32">
        <f>91/464</f>
        <v/>
      </c>
      <c r="G211" s="33" t="inlineStr">
        <is>
          <t>SAD</t>
        </is>
      </c>
      <c r="H211" s="31" t="n">
        <v>53</v>
      </c>
      <c r="I211" s="32">
        <f>53/438</f>
        <v/>
      </c>
      <c r="J211" s="33" t="inlineStr">
        <is>
          <t>SAD</t>
        </is>
      </c>
      <c r="K211" s="31" t="n">
        <v>-38</v>
      </c>
      <c r="L211" s="34">
        <f>I211-F211</f>
        <v/>
      </c>
      <c r="M211" s="31" t="n">
        <v>291</v>
      </c>
      <c r="N211" s="31" t="n">
        <v>438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23" t="inlineStr">
        <is>
          <t>Won Both Times (Stronghold)</t>
        </is>
      </c>
      <c r="E212" s="24" t="n">
        <v>254</v>
      </c>
      <c r="F212" s="25">
        <f>254/613</f>
        <v/>
      </c>
      <c r="G212" s="26" t="inlineStr">
        <is>
          <t>INC</t>
        </is>
      </c>
      <c r="H212" s="24" t="n">
        <v>189</v>
      </c>
      <c r="I212" s="25">
        <f>189/549</f>
        <v/>
      </c>
      <c r="J212" s="26" t="inlineStr">
        <is>
          <t>INC</t>
        </is>
      </c>
      <c r="K212" s="24" t="n">
        <v>-65</v>
      </c>
      <c r="L212" s="27">
        <f>I212-F212</f>
        <v/>
      </c>
      <c r="M212" s="24" t="n">
        <v>73</v>
      </c>
      <c r="N212" s="24" t="n">
        <v>549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37" t="inlineStr">
        <is>
          <t>Lost in 2024 (to AAP)</t>
        </is>
      </c>
      <c r="E213" s="31" t="n">
        <v>100</v>
      </c>
      <c r="F213" s="32">
        <f>100/237</f>
        <v/>
      </c>
      <c r="G213" s="33" t="inlineStr">
        <is>
          <t>INC</t>
        </is>
      </c>
      <c r="H213" s="31" t="n">
        <v>56</v>
      </c>
      <c r="I213" s="32">
        <f>56/213</f>
        <v/>
      </c>
      <c r="J213" s="33" t="inlineStr">
        <is>
          <t>AAP</t>
        </is>
      </c>
      <c r="K213" s="31" t="n">
        <v>-44</v>
      </c>
      <c r="L213" s="34">
        <f>I213-F213</f>
        <v/>
      </c>
      <c r="M213" s="31" t="n">
        <v>1</v>
      </c>
      <c r="N213" s="31" t="n">
        <v>213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36" t="inlineStr">
        <is>
          <t>Weak Booth (&lt; 20% Share)</t>
        </is>
      </c>
      <c r="E214" s="24" t="n">
        <v>158</v>
      </c>
      <c r="F214" s="25">
        <f>158/648</f>
        <v/>
      </c>
      <c r="G214" s="26" t="inlineStr">
        <is>
          <t>AAP</t>
        </is>
      </c>
      <c r="H214" s="24" t="n">
        <v>33</v>
      </c>
      <c r="I214" s="25">
        <f>33/491</f>
        <v/>
      </c>
      <c r="J214" s="26" t="inlineStr">
        <is>
          <t>AAP</t>
        </is>
      </c>
      <c r="K214" s="24" t="n">
        <v>-125</v>
      </c>
      <c r="L214" s="27">
        <f>I214-F214</f>
        <v/>
      </c>
      <c r="M214" s="24" t="n">
        <v>222</v>
      </c>
      <c r="N214" s="24" t="n">
        <v>491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36" t="inlineStr">
        <is>
          <t>Weak Booth (&lt; 20% Share)</t>
        </is>
      </c>
      <c r="E215" s="31" t="n">
        <v>257</v>
      </c>
      <c r="F215" s="32">
        <f>257/776</f>
        <v/>
      </c>
      <c r="G215" s="33" t="inlineStr">
        <is>
          <t>AAP</t>
        </is>
      </c>
      <c r="H215" s="31" t="n">
        <v>56</v>
      </c>
      <c r="I215" s="32">
        <f>56/648</f>
        <v/>
      </c>
      <c r="J215" s="33" t="inlineStr">
        <is>
          <t>AAP</t>
        </is>
      </c>
      <c r="K215" s="31" t="n">
        <v>-201</v>
      </c>
      <c r="L215" s="34">
        <f>I215-F215</f>
        <v/>
      </c>
      <c r="M215" s="31" t="n">
        <v>405</v>
      </c>
      <c r="N215" s="31" t="n">
        <v>648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36" t="inlineStr">
        <is>
          <t>Weak Booth (&lt; 20% Share)</t>
        </is>
      </c>
      <c r="E216" s="24" t="n">
        <v>174</v>
      </c>
      <c r="F216" s="25">
        <f>174/587</f>
        <v/>
      </c>
      <c r="G216" s="26" t="inlineStr">
        <is>
          <t>AAP</t>
        </is>
      </c>
      <c r="H216" s="24" t="n">
        <v>62</v>
      </c>
      <c r="I216" s="25">
        <f>62/494</f>
        <v/>
      </c>
      <c r="J216" s="26" t="inlineStr">
        <is>
          <t>AAP</t>
        </is>
      </c>
      <c r="K216" s="24" t="n">
        <v>-112</v>
      </c>
      <c r="L216" s="27">
        <f>I216-F216</f>
        <v/>
      </c>
      <c r="M216" s="24" t="n">
        <v>246</v>
      </c>
      <c r="N216" s="24" t="n">
        <v>494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37" t="inlineStr">
        <is>
          <t>Lost in 2024 (to AAP)</t>
        </is>
      </c>
      <c r="E217" s="31" t="n">
        <v>293</v>
      </c>
      <c r="F217" s="32">
        <f>293/676</f>
        <v/>
      </c>
      <c r="G217" s="33" t="inlineStr">
        <is>
          <t>INC</t>
        </is>
      </c>
      <c r="H217" s="31" t="n">
        <v>88</v>
      </c>
      <c r="I217" s="32">
        <f>88/563</f>
        <v/>
      </c>
      <c r="J217" s="33" t="inlineStr">
        <is>
          <t>AAP</t>
        </is>
      </c>
      <c r="K217" s="31" t="n">
        <v>-205</v>
      </c>
      <c r="L217" s="34">
        <f>I217-F217</f>
        <v/>
      </c>
      <c r="M217" s="31" t="n">
        <v>233</v>
      </c>
      <c r="N217" s="31" t="n">
        <v>563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35" t="inlineStr">
        <is>
          <t>Gained in 2024 (New Win)</t>
        </is>
      </c>
      <c r="E218" s="24" t="n">
        <v>151</v>
      </c>
      <c r="F218" s="25">
        <f>151/772</f>
        <v/>
      </c>
      <c r="G218" s="26" t="inlineStr">
        <is>
          <t>AAP</t>
        </is>
      </c>
      <c r="H218" s="24" t="n">
        <v>346</v>
      </c>
      <c r="I218" s="25">
        <f>346/692</f>
        <v/>
      </c>
      <c r="J218" s="26" t="inlineStr">
        <is>
          <t>INC</t>
        </is>
      </c>
      <c r="K218" s="24" t="n">
        <v>195</v>
      </c>
      <c r="L218" s="27">
        <f>I218-F218</f>
        <v/>
      </c>
      <c r="M218" s="24" t="n">
        <v>207</v>
      </c>
      <c r="N218" s="24" t="n">
        <v>692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35" t="inlineStr">
        <is>
          <t>Gained in 2024 (New Win)</t>
        </is>
      </c>
      <c r="E219" s="31" t="n">
        <v>79</v>
      </c>
      <c r="F219" s="32">
        <f>79/650</f>
        <v/>
      </c>
      <c r="G219" s="33" t="inlineStr">
        <is>
          <t>AAP</t>
        </is>
      </c>
      <c r="H219" s="31" t="n">
        <v>168</v>
      </c>
      <c r="I219" s="32">
        <f>168/495</f>
        <v/>
      </c>
      <c r="J219" s="33" t="inlineStr">
        <is>
          <t>INC</t>
        </is>
      </c>
      <c r="K219" s="31" t="n">
        <v>89</v>
      </c>
      <c r="L219" s="34">
        <f>I219-F219</f>
        <v/>
      </c>
      <c r="M219" s="31" t="n">
        <v>15</v>
      </c>
      <c r="N219" s="31" t="n">
        <v>495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30" t="inlineStr">
        <is>
          <t>Lost Both Times (Deficit)</t>
        </is>
      </c>
      <c r="E220" s="24" t="n">
        <v>282</v>
      </c>
      <c r="F220" s="25">
        <f>282/803</f>
        <v/>
      </c>
      <c r="G220" s="26" t="inlineStr">
        <is>
          <t>AAP</t>
        </is>
      </c>
      <c r="H220" s="24" t="n">
        <v>228</v>
      </c>
      <c r="I220" s="25">
        <f>228/649</f>
        <v/>
      </c>
      <c r="J220" s="26" t="inlineStr">
        <is>
          <t>AAP</t>
        </is>
      </c>
      <c r="K220" s="24" t="n">
        <v>-54</v>
      </c>
      <c r="L220" s="27">
        <f>I220-F220</f>
        <v/>
      </c>
      <c r="M220" s="24" t="n">
        <v>15</v>
      </c>
      <c r="N220" s="24" t="n">
        <v>649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30" t="inlineStr">
        <is>
          <t>Lost Both Times (Deficit)</t>
        </is>
      </c>
      <c r="E221" s="31" t="n">
        <v>198</v>
      </c>
      <c r="F221" s="32">
        <f>198/738</f>
        <v/>
      </c>
      <c r="G221" s="33" t="inlineStr">
        <is>
          <t>AAP</t>
        </is>
      </c>
      <c r="H221" s="31" t="n">
        <v>132</v>
      </c>
      <c r="I221" s="32">
        <f>132/581</f>
        <v/>
      </c>
      <c r="J221" s="33" t="inlineStr">
        <is>
          <t>AAP</t>
        </is>
      </c>
      <c r="K221" s="31" t="n">
        <v>-66</v>
      </c>
      <c r="L221" s="34">
        <f>I221-F221</f>
        <v/>
      </c>
      <c r="M221" s="31" t="n">
        <v>27</v>
      </c>
      <c r="N221" s="31" t="n">
        <v>581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36" t="inlineStr">
        <is>
          <t>Weak Booth (&lt; 20% Share)</t>
        </is>
      </c>
      <c r="E222" s="24" t="n">
        <v>179</v>
      </c>
      <c r="F222" s="25">
        <f>179/752</f>
        <v/>
      </c>
      <c r="G222" s="26" t="inlineStr">
        <is>
          <t>AAP</t>
        </is>
      </c>
      <c r="H222" s="24" t="n">
        <v>135</v>
      </c>
      <c r="I222" s="25">
        <f>135/706</f>
        <v/>
      </c>
      <c r="J222" s="26" t="inlineStr">
        <is>
          <t>AAP</t>
        </is>
      </c>
      <c r="K222" s="24" t="n">
        <v>-44</v>
      </c>
      <c r="L222" s="27">
        <f>I222-F222</f>
        <v/>
      </c>
      <c r="M222" s="24" t="n">
        <v>85</v>
      </c>
      <c r="N222" s="24" t="n">
        <v>706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23" t="inlineStr">
        <is>
          <t>Won Both Times (Stronghold)</t>
        </is>
      </c>
      <c r="E223" s="31" t="n">
        <v>343</v>
      </c>
      <c r="F223" s="32">
        <f>343/735</f>
        <v/>
      </c>
      <c r="G223" s="33" t="inlineStr">
        <is>
          <t>INC</t>
        </is>
      </c>
      <c r="H223" s="31" t="n">
        <v>269</v>
      </c>
      <c r="I223" s="32">
        <f>269/616</f>
        <v/>
      </c>
      <c r="J223" s="33" t="inlineStr">
        <is>
          <t>INC</t>
        </is>
      </c>
      <c r="K223" s="31" t="n">
        <v>-74</v>
      </c>
      <c r="L223" s="34">
        <f>I223-F223</f>
        <v/>
      </c>
      <c r="M223" s="31" t="n">
        <v>114</v>
      </c>
      <c r="N223" s="31" t="n">
        <v>616</v>
      </c>
    </row>
    <row r="224" ht="24" customHeight="1">
      <c r="A224" s="43" t="inlineStr">
        <is>
          <t>TOTAL</t>
        </is>
      </c>
      <c r="B224" s="43" t="inlineStr">
        <is>
          <t>222 Booths</t>
        </is>
      </c>
      <c r="C224" s="43" t="inlineStr">
        <is>
          <t>Constituency Total</t>
        </is>
      </c>
      <c r="D224" s="43" t="inlineStr">
        <is>
          <t>INC Master Summary</t>
        </is>
      </c>
      <c r="E224" s="44">
        <f>SUM(E2:E223)</f>
        <v/>
      </c>
      <c r="F224" s="45">
        <f>E224/SUM(N2:N223)</f>
        <v/>
      </c>
      <c r="G224" s="43" t="inlineStr">
        <is>
          <t>INC Won 98</t>
        </is>
      </c>
      <c r="H224" s="44">
        <f>SUM(H2:H223)</f>
        <v/>
      </c>
      <c r="I224" s="45">
        <f>H224/SUM(N2:N223)</f>
        <v/>
      </c>
      <c r="J224" s="43" t="inlineStr">
        <is>
          <t>INC Won 112</t>
        </is>
      </c>
      <c r="K224" s="44">
        <f>H224-E224</f>
        <v/>
      </c>
      <c r="L224" s="46">
        <f>I224-F224</f>
        <v/>
      </c>
      <c r="M224" s="44">
        <f>SUM(M2:M223)</f>
        <v/>
      </c>
      <c r="N224" s="44">
        <f>SUM(N2:N223)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3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14" customWidth="1" min="22" max="22"/>
  </cols>
  <sheetData>
    <row r="1" ht="28" customHeight="1">
      <c r="A1" s="47" t="inlineStr">
        <is>
          <t>Booth No</t>
        </is>
      </c>
      <c r="B1" s="47" t="inlineStr">
        <is>
          <t>Village (English)</t>
        </is>
      </c>
      <c r="C1" s="47" t="inlineStr">
        <is>
          <t>Village (Punjabi)</t>
        </is>
      </c>
      <c r="D1" s="47" t="inlineStr">
        <is>
          <t>Shift Status</t>
        </is>
      </c>
      <c r="E1" s="47" t="inlineStr">
        <is>
          <t>2022 INC</t>
        </is>
      </c>
      <c r="F1" s="47" t="inlineStr">
        <is>
          <t>2022 AAP</t>
        </is>
      </c>
      <c r="G1" s="47" t="inlineStr">
        <is>
          <t>2022 SAD</t>
        </is>
      </c>
      <c r="H1" s="47" t="inlineStr">
        <is>
          <t>2022 BJP</t>
        </is>
      </c>
      <c r="I1" s="47" t="inlineStr">
        <is>
          <t>2022 Polled</t>
        </is>
      </c>
      <c r="J1" s="47" t="inlineStr">
        <is>
          <t>2022 Winner</t>
        </is>
      </c>
      <c r="K1" s="47" t="inlineStr">
        <is>
          <t>2024 INC</t>
        </is>
      </c>
      <c r="L1" s="47" t="inlineStr">
        <is>
          <t>2024 AAP</t>
        </is>
      </c>
      <c r="M1" s="47" t="inlineStr">
        <is>
          <t>2024 SAD</t>
        </is>
      </c>
      <c r="N1" s="47" t="inlineStr">
        <is>
          <t>2024 BJP</t>
        </is>
      </c>
      <c r="O1" s="47" t="inlineStr">
        <is>
          <t>2024 Polled</t>
        </is>
      </c>
      <c r="P1" s="47" t="inlineStr">
        <is>
          <t>2024 Winner</t>
        </is>
      </c>
      <c r="Q1" s="47" t="inlineStr">
        <is>
          <t>INC Swing</t>
        </is>
      </c>
      <c r="R1" s="47" t="inlineStr">
        <is>
          <t>AAP Swing</t>
        </is>
      </c>
      <c r="S1" s="47" t="inlineStr">
        <is>
          <t>SAD Swing</t>
        </is>
      </c>
      <c r="T1" s="47" t="inlineStr">
        <is>
          <t>BJP Swing</t>
        </is>
      </c>
      <c r="U1" s="47" t="inlineStr">
        <is>
          <t>Turnout Change</t>
        </is>
      </c>
      <c r="V1" s="47" t="inlineStr">
        <is>
          <t>2024 Margin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48" t="inlineStr">
        <is>
          <t>Retained AAP</t>
        </is>
      </c>
      <c r="E2" s="24" t="n">
        <v>98</v>
      </c>
      <c r="F2" s="24" t="n">
        <v>132</v>
      </c>
      <c r="G2" s="24" t="n">
        <v>34</v>
      </c>
      <c r="H2" s="24" t="n">
        <v>0</v>
      </c>
      <c r="I2" s="24" t="n">
        <v>281</v>
      </c>
      <c r="J2" s="26" t="inlineStr">
        <is>
          <t>AAP</t>
        </is>
      </c>
      <c r="K2" s="24" t="n">
        <v>71</v>
      </c>
      <c r="L2" s="24" t="n">
        <v>88</v>
      </c>
      <c r="M2" s="24" t="n">
        <v>26</v>
      </c>
      <c r="N2" s="24" t="n">
        <v>42</v>
      </c>
      <c r="O2" s="24" t="n">
        <v>249</v>
      </c>
      <c r="P2" s="26" t="inlineStr">
        <is>
          <t>AAP</t>
        </is>
      </c>
      <c r="Q2" s="27" t="n">
        <v>-0.06370000000000001</v>
      </c>
      <c r="R2" s="27" t="n">
        <v>-0.1164</v>
      </c>
      <c r="S2" s="27" t="n">
        <v>-0.0166</v>
      </c>
      <c r="T2" s="27" t="n">
        <v>0.1687</v>
      </c>
      <c r="U2" s="24" t="n">
        <v>-32</v>
      </c>
      <c r="V2" s="24" t="n">
        <v>17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48" t="inlineStr">
        <is>
          <t>Retained INC</t>
        </is>
      </c>
      <c r="E3" s="31" t="n">
        <v>225</v>
      </c>
      <c r="F3" s="31" t="n">
        <v>129</v>
      </c>
      <c r="G3" s="31" t="n">
        <v>203</v>
      </c>
      <c r="H3" s="31" t="n">
        <v>13</v>
      </c>
      <c r="I3" s="31" t="n">
        <v>614</v>
      </c>
      <c r="J3" s="33" t="inlineStr">
        <is>
          <t>INC</t>
        </is>
      </c>
      <c r="K3" s="31" t="n">
        <v>168</v>
      </c>
      <c r="L3" s="31" t="n">
        <v>151</v>
      </c>
      <c r="M3" s="31" t="n">
        <v>118</v>
      </c>
      <c r="N3" s="31" t="n">
        <v>54</v>
      </c>
      <c r="O3" s="31" t="n">
        <v>542</v>
      </c>
      <c r="P3" s="33" t="inlineStr">
        <is>
          <t>INC</t>
        </is>
      </c>
      <c r="Q3" s="34" t="n">
        <v>-0.0564</v>
      </c>
      <c r="R3" s="34" t="n">
        <v>0.06849999999999999</v>
      </c>
      <c r="S3" s="34" t="n">
        <v>-0.1129</v>
      </c>
      <c r="T3" s="34" t="n">
        <v>0.0784</v>
      </c>
      <c r="U3" s="31" t="n">
        <v>-72</v>
      </c>
      <c r="V3" s="31" t="n">
        <v>17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48" t="inlineStr">
        <is>
          <t>Retained SAD</t>
        </is>
      </c>
      <c r="E4" s="24" t="n">
        <v>184</v>
      </c>
      <c r="F4" s="24" t="n">
        <v>153</v>
      </c>
      <c r="G4" s="24" t="n">
        <v>192</v>
      </c>
      <c r="H4" s="24" t="n">
        <v>10</v>
      </c>
      <c r="I4" s="24" t="n">
        <v>566</v>
      </c>
      <c r="J4" s="26" t="inlineStr">
        <is>
          <t>SAD</t>
        </is>
      </c>
      <c r="K4" s="24" t="n">
        <v>103</v>
      </c>
      <c r="L4" s="24" t="n">
        <v>135</v>
      </c>
      <c r="M4" s="24" t="n">
        <v>176</v>
      </c>
      <c r="N4" s="24" t="n">
        <v>40</v>
      </c>
      <c r="O4" s="24" t="n">
        <v>500</v>
      </c>
      <c r="P4" s="26" t="inlineStr">
        <is>
          <t>SAD</t>
        </is>
      </c>
      <c r="Q4" s="27" t="n">
        <v>-0.1191</v>
      </c>
      <c r="R4" s="27" t="n">
        <v>-0.0003</v>
      </c>
      <c r="S4" s="27" t="n">
        <v>0.0128</v>
      </c>
      <c r="T4" s="27" t="n">
        <v>0.0623</v>
      </c>
      <c r="U4" s="24" t="n">
        <v>-66</v>
      </c>
      <c r="V4" s="24" t="n">
        <v>41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49" t="inlineStr">
        <is>
          <t>Flipped (INC → AAP)</t>
        </is>
      </c>
      <c r="E5" s="31" t="n">
        <v>337</v>
      </c>
      <c r="F5" s="31" t="n">
        <v>164</v>
      </c>
      <c r="G5" s="31" t="n">
        <v>105</v>
      </c>
      <c r="H5" s="31" t="n">
        <v>19</v>
      </c>
      <c r="I5" s="31" t="n">
        <v>656</v>
      </c>
      <c r="J5" s="33" t="inlineStr">
        <is>
          <t>INC</t>
        </is>
      </c>
      <c r="K5" s="31" t="n">
        <v>180</v>
      </c>
      <c r="L5" s="31" t="n">
        <v>263</v>
      </c>
      <c r="M5" s="31" t="n">
        <v>66</v>
      </c>
      <c r="N5" s="31" t="n">
        <v>104</v>
      </c>
      <c r="O5" s="31" t="n">
        <v>660</v>
      </c>
      <c r="P5" s="33" t="inlineStr">
        <is>
          <t>AAP</t>
        </is>
      </c>
      <c r="Q5" s="34" t="n">
        <v>-0.241</v>
      </c>
      <c r="R5" s="34" t="n">
        <v>0.1485</v>
      </c>
      <c r="S5" s="34" t="n">
        <v>-0.0601</v>
      </c>
      <c r="T5" s="34" t="n">
        <v>0.1286</v>
      </c>
      <c r="U5" s="31" t="n">
        <v>4</v>
      </c>
      <c r="V5" s="31" t="n">
        <v>83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49" t="inlineStr">
        <is>
          <t>Flipped (INC → AAP)</t>
        </is>
      </c>
      <c r="E6" s="24" t="n">
        <v>240</v>
      </c>
      <c r="F6" s="24" t="n">
        <v>165</v>
      </c>
      <c r="G6" s="24" t="n">
        <v>147</v>
      </c>
      <c r="H6" s="24" t="n">
        <v>8</v>
      </c>
      <c r="I6" s="24" t="n">
        <v>589</v>
      </c>
      <c r="J6" s="26" t="inlineStr">
        <is>
          <t>INC</t>
        </is>
      </c>
      <c r="K6" s="24" t="n">
        <v>98</v>
      </c>
      <c r="L6" s="24" t="n">
        <v>223</v>
      </c>
      <c r="M6" s="24" t="n">
        <v>144</v>
      </c>
      <c r="N6" s="24" t="n">
        <v>32</v>
      </c>
      <c r="O6" s="24" t="n">
        <v>541</v>
      </c>
      <c r="P6" s="26" t="inlineStr">
        <is>
          <t>AAP</t>
        </is>
      </c>
      <c r="Q6" s="27" t="n">
        <v>-0.2264</v>
      </c>
      <c r="R6" s="27" t="n">
        <v>0.1321</v>
      </c>
      <c r="S6" s="27" t="n">
        <v>0.0166</v>
      </c>
      <c r="T6" s="27" t="n">
        <v>0.0455</v>
      </c>
      <c r="U6" s="24" t="n">
        <v>-48</v>
      </c>
      <c r="V6" s="24" t="n">
        <v>79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49" t="inlineStr">
        <is>
          <t>Flipped (SAD → AAP)</t>
        </is>
      </c>
      <c r="E7" s="31" t="n">
        <v>225</v>
      </c>
      <c r="F7" s="31" t="n">
        <v>160</v>
      </c>
      <c r="G7" s="31" t="n">
        <v>279</v>
      </c>
      <c r="H7" s="31" t="n">
        <v>19</v>
      </c>
      <c r="I7" s="31" t="n">
        <v>707</v>
      </c>
      <c r="J7" s="33" t="inlineStr">
        <is>
          <t>SAD</t>
        </is>
      </c>
      <c r="K7" s="31" t="n">
        <v>126</v>
      </c>
      <c r="L7" s="31" t="n">
        <v>281</v>
      </c>
      <c r="M7" s="31" t="n">
        <v>104</v>
      </c>
      <c r="N7" s="31" t="n">
        <v>124</v>
      </c>
      <c r="O7" s="31" t="n">
        <v>712</v>
      </c>
      <c r="P7" s="33" t="inlineStr">
        <is>
          <t>AAP</t>
        </is>
      </c>
      <c r="Q7" s="34" t="n">
        <v>-0.1412</v>
      </c>
      <c r="R7" s="34" t="n">
        <v>0.1684</v>
      </c>
      <c r="S7" s="34" t="n">
        <v>-0.2485</v>
      </c>
      <c r="T7" s="34" t="n">
        <v>0.1473</v>
      </c>
      <c r="U7" s="31" t="n">
        <v>5</v>
      </c>
      <c r="V7" s="31" t="n">
        <v>155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49" t="inlineStr">
        <is>
          <t>Flipped (SAD → INC)</t>
        </is>
      </c>
      <c r="E8" s="24" t="n">
        <v>211</v>
      </c>
      <c r="F8" s="24" t="n">
        <v>110</v>
      </c>
      <c r="G8" s="24" t="n">
        <v>385</v>
      </c>
      <c r="H8" s="24" t="n">
        <v>14</v>
      </c>
      <c r="I8" s="24" t="n">
        <v>747</v>
      </c>
      <c r="J8" s="26" t="inlineStr">
        <is>
          <t>SAD</t>
        </is>
      </c>
      <c r="K8" s="24" t="n">
        <v>152</v>
      </c>
      <c r="L8" s="24" t="n">
        <v>118</v>
      </c>
      <c r="M8" s="24" t="n">
        <v>132</v>
      </c>
      <c r="N8" s="24" t="n">
        <v>137</v>
      </c>
      <c r="O8" s="24" t="n">
        <v>597</v>
      </c>
      <c r="P8" s="26" t="inlineStr">
        <is>
          <t>INC</t>
        </is>
      </c>
      <c r="Q8" s="27" t="n">
        <v>-0.0279</v>
      </c>
      <c r="R8" s="27" t="n">
        <v>0.0504</v>
      </c>
      <c r="S8" s="27" t="n">
        <v>-0.2943</v>
      </c>
      <c r="T8" s="27" t="n">
        <v>0.2108</v>
      </c>
      <c r="U8" s="24" t="n">
        <v>-150</v>
      </c>
      <c r="V8" s="24" t="n">
        <v>15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49" t="inlineStr">
        <is>
          <t>Flipped (AAP → INC)</t>
        </is>
      </c>
      <c r="E9" s="31" t="n">
        <v>234</v>
      </c>
      <c r="F9" s="31" t="n">
        <v>336</v>
      </c>
      <c r="G9" s="31" t="n">
        <v>162</v>
      </c>
      <c r="H9" s="31" t="n">
        <v>12</v>
      </c>
      <c r="I9" s="31" t="n">
        <v>778</v>
      </c>
      <c r="J9" s="33" t="inlineStr">
        <is>
          <t>AAP</t>
        </is>
      </c>
      <c r="K9" s="31" t="n">
        <v>289</v>
      </c>
      <c r="L9" s="31" t="n">
        <v>130</v>
      </c>
      <c r="M9" s="31" t="n">
        <v>87</v>
      </c>
      <c r="N9" s="31" t="n">
        <v>80</v>
      </c>
      <c r="O9" s="31" t="n">
        <v>697</v>
      </c>
      <c r="P9" s="33" t="inlineStr">
        <is>
          <t>INC</t>
        </is>
      </c>
      <c r="Q9" s="34" t="n">
        <v>0.1138</v>
      </c>
      <c r="R9" s="34" t="n">
        <v>-0.2454</v>
      </c>
      <c r="S9" s="34" t="n">
        <v>-0.0834</v>
      </c>
      <c r="T9" s="34" t="n">
        <v>0.09939999999999999</v>
      </c>
      <c r="U9" s="31" t="n">
        <v>-81</v>
      </c>
      <c r="V9" s="31" t="n">
        <v>159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49" t="inlineStr">
        <is>
          <t>Flipped (AAP → INC)</t>
        </is>
      </c>
      <c r="E10" s="24" t="n">
        <v>180</v>
      </c>
      <c r="F10" s="24" t="n">
        <v>358</v>
      </c>
      <c r="G10" s="24" t="n">
        <v>279</v>
      </c>
      <c r="H10" s="24" t="n">
        <v>5</v>
      </c>
      <c r="I10" s="24" t="n">
        <v>888</v>
      </c>
      <c r="J10" s="26" t="inlineStr">
        <is>
          <t>AAP</t>
        </is>
      </c>
      <c r="K10" s="24" t="n">
        <v>138</v>
      </c>
      <c r="L10" s="24" t="n">
        <v>77</v>
      </c>
      <c r="M10" s="24" t="n">
        <v>90</v>
      </c>
      <c r="N10" s="24" t="n">
        <v>84</v>
      </c>
      <c r="O10" s="24" t="n">
        <v>423</v>
      </c>
      <c r="P10" s="26" t="inlineStr">
        <is>
          <t>INC</t>
        </is>
      </c>
      <c r="Q10" s="27" t="n">
        <v>0.1235</v>
      </c>
      <c r="R10" s="27" t="n">
        <v>-0.2212</v>
      </c>
      <c r="S10" s="27" t="n">
        <v>-0.1014</v>
      </c>
      <c r="T10" s="27" t="n">
        <v>0.193</v>
      </c>
      <c r="U10" s="24" t="n">
        <v>-465</v>
      </c>
      <c r="V10" s="24" t="n">
        <v>48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48" t="inlineStr">
        <is>
          <t>Retained AAP</t>
        </is>
      </c>
      <c r="E11" s="31" t="n">
        <v>151</v>
      </c>
      <c r="F11" s="31" t="n">
        <v>170</v>
      </c>
      <c r="G11" s="31" t="n">
        <v>110</v>
      </c>
      <c r="H11" s="31" t="n">
        <v>7</v>
      </c>
      <c r="I11" s="31" t="n">
        <v>454</v>
      </c>
      <c r="J11" s="33" t="inlineStr">
        <is>
          <t>AAP</t>
        </is>
      </c>
      <c r="K11" s="31" t="n">
        <v>190</v>
      </c>
      <c r="L11" s="31" t="n">
        <v>221</v>
      </c>
      <c r="M11" s="31" t="n">
        <v>149</v>
      </c>
      <c r="N11" s="31" t="n">
        <v>49</v>
      </c>
      <c r="O11" s="31" t="n">
        <v>751</v>
      </c>
      <c r="P11" s="33" t="inlineStr">
        <is>
          <t>AAP</t>
        </is>
      </c>
      <c r="Q11" s="34" t="n">
        <v>-0.0796</v>
      </c>
      <c r="R11" s="34" t="n">
        <v>-0.0801</v>
      </c>
      <c r="S11" s="34" t="n">
        <v>-0.04389999999999999</v>
      </c>
      <c r="T11" s="34" t="n">
        <v>0.0498</v>
      </c>
      <c r="U11" s="31" t="n">
        <v>297</v>
      </c>
      <c r="V11" s="31" t="n">
        <v>31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49" t="inlineStr">
        <is>
          <t>Flipped (AAP → INC)</t>
        </is>
      </c>
      <c r="E12" s="24" t="n">
        <v>194</v>
      </c>
      <c r="F12" s="24" t="n">
        <v>229</v>
      </c>
      <c r="G12" s="24" t="n">
        <v>193</v>
      </c>
      <c r="H12" s="24" t="n">
        <v>10</v>
      </c>
      <c r="I12" s="24" t="n">
        <v>653</v>
      </c>
      <c r="J12" s="26" t="inlineStr">
        <is>
          <t>AAP</t>
        </is>
      </c>
      <c r="K12" s="24" t="n">
        <v>163</v>
      </c>
      <c r="L12" s="24" t="n">
        <v>156</v>
      </c>
      <c r="M12" s="24" t="n">
        <v>91</v>
      </c>
      <c r="N12" s="24" t="n">
        <v>43</v>
      </c>
      <c r="O12" s="24" t="n">
        <v>582</v>
      </c>
      <c r="P12" s="26" t="inlineStr">
        <is>
          <t>INC</t>
        </is>
      </c>
      <c r="Q12" s="27" t="n">
        <v>-0.017</v>
      </c>
      <c r="R12" s="27" t="n">
        <v>-0.0827</v>
      </c>
      <c r="S12" s="27" t="n">
        <v>-0.1392</v>
      </c>
      <c r="T12" s="27" t="n">
        <v>0.05860000000000001</v>
      </c>
      <c r="U12" s="24" t="n">
        <v>-71</v>
      </c>
      <c r="V12" s="24" t="n">
        <v>7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49" t="inlineStr">
        <is>
          <t>Flipped (SAD → INC)</t>
        </is>
      </c>
      <c r="E13" s="31" t="n">
        <v>190</v>
      </c>
      <c r="F13" s="31" t="n">
        <v>159</v>
      </c>
      <c r="G13" s="31" t="n">
        <v>196</v>
      </c>
      <c r="H13" s="31" t="n">
        <v>3</v>
      </c>
      <c r="I13" s="31" t="n">
        <v>579</v>
      </c>
      <c r="J13" s="33" t="inlineStr">
        <is>
          <t>SAD</t>
        </is>
      </c>
      <c r="K13" s="31" t="n">
        <v>216</v>
      </c>
      <c r="L13" s="31" t="n">
        <v>179</v>
      </c>
      <c r="M13" s="31" t="n">
        <v>24</v>
      </c>
      <c r="N13" s="31" t="n">
        <v>11</v>
      </c>
      <c r="O13" s="31" t="n">
        <v>476</v>
      </c>
      <c r="P13" s="33" t="inlineStr">
        <is>
          <t>INC</t>
        </is>
      </c>
      <c r="Q13" s="34" t="n">
        <v>0.1256</v>
      </c>
      <c r="R13" s="34" t="n">
        <v>0.1015</v>
      </c>
      <c r="S13" s="34" t="n">
        <v>-0.2881</v>
      </c>
      <c r="T13" s="34" t="n">
        <v>0.0179</v>
      </c>
      <c r="U13" s="31" t="n">
        <v>-103</v>
      </c>
      <c r="V13" s="31" t="n">
        <v>37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48" t="inlineStr">
        <is>
          <t>Retained INC</t>
        </is>
      </c>
      <c r="E14" s="24" t="n">
        <v>245</v>
      </c>
      <c r="F14" s="24" t="n">
        <v>205</v>
      </c>
      <c r="G14" s="24" t="n">
        <v>219</v>
      </c>
      <c r="H14" s="24" t="n">
        <v>6</v>
      </c>
      <c r="I14" s="24" t="n">
        <v>704</v>
      </c>
      <c r="J14" s="26" t="inlineStr">
        <is>
          <t>INC</t>
        </is>
      </c>
      <c r="K14" s="24" t="n">
        <v>214</v>
      </c>
      <c r="L14" s="24" t="n">
        <v>186</v>
      </c>
      <c r="M14" s="24" t="n">
        <v>147</v>
      </c>
      <c r="N14" s="24" t="n">
        <v>74</v>
      </c>
      <c r="O14" s="24" t="n">
        <v>659</v>
      </c>
      <c r="P14" s="26" t="inlineStr">
        <is>
          <t>INC</t>
        </is>
      </c>
      <c r="Q14" s="27" t="n">
        <v>-0.0233</v>
      </c>
      <c r="R14" s="27" t="n">
        <v>-0.009000000000000001</v>
      </c>
      <c r="S14" s="27" t="n">
        <v>-0.08800000000000001</v>
      </c>
      <c r="T14" s="27" t="n">
        <v>0.1038</v>
      </c>
      <c r="U14" s="24" t="n">
        <v>-45</v>
      </c>
      <c r="V14" s="24" t="n">
        <v>28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48" t="inlineStr">
        <is>
          <t>Retained INC</t>
        </is>
      </c>
      <c r="E15" s="31" t="n">
        <v>272</v>
      </c>
      <c r="F15" s="31" t="n">
        <v>127</v>
      </c>
      <c r="G15" s="31" t="n">
        <v>105</v>
      </c>
      <c r="H15" s="31" t="n">
        <v>8</v>
      </c>
      <c r="I15" s="31" t="n">
        <v>529</v>
      </c>
      <c r="J15" s="33" t="inlineStr">
        <is>
          <t>INC</t>
        </is>
      </c>
      <c r="K15" s="31" t="n">
        <v>184</v>
      </c>
      <c r="L15" s="31" t="n">
        <v>74</v>
      </c>
      <c r="M15" s="31" t="n">
        <v>58</v>
      </c>
      <c r="N15" s="31" t="n">
        <v>102</v>
      </c>
      <c r="O15" s="31" t="n">
        <v>452</v>
      </c>
      <c r="P15" s="33" t="inlineStr">
        <is>
          <t>INC</t>
        </is>
      </c>
      <c r="Q15" s="34" t="n">
        <v>-0.1071</v>
      </c>
      <c r="R15" s="34" t="n">
        <v>-0.0764</v>
      </c>
      <c r="S15" s="34" t="n">
        <v>-0.0702</v>
      </c>
      <c r="T15" s="34" t="n">
        <v>0.2106</v>
      </c>
      <c r="U15" s="31" t="n">
        <v>-77</v>
      </c>
      <c r="V15" s="31" t="n">
        <v>82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49" t="inlineStr">
        <is>
          <t>Flipped (AAP → INC)</t>
        </is>
      </c>
      <c r="E16" s="24" t="n">
        <v>113</v>
      </c>
      <c r="F16" s="24" t="n">
        <v>212</v>
      </c>
      <c r="G16" s="24" t="n">
        <v>138</v>
      </c>
      <c r="H16" s="24" t="n">
        <v>1</v>
      </c>
      <c r="I16" s="24" t="n">
        <v>478</v>
      </c>
      <c r="J16" s="26" t="inlineStr">
        <is>
          <t>AAP</t>
        </is>
      </c>
      <c r="K16" s="24" t="n">
        <v>140</v>
      </c>
      <c r="L16" s="24" t="n">
        <v>136</v>
      </c>
      <c r="M16" s="24" t="n">
        <v>86</v>
      </c>
      <c r="N16" s="24" t="n">
        <v>28</v>
      </c>
      <c r="O16" s="24" t="n">
        <v>453</v>
      </c>
      <c r="P16" s="26" t="inlineStr">
        <is>
          <t>INC</t>
        </is>
      </c>
      <c r="Q16" s="27" t="n">
        <v>0.0727</v>
      </c>
      <c r="R16" s="27" t="n">
        <v>-0.1433</v>
      </c>
      <c r="S16" s="27" t="n">
        <v>-0.0989</v>
      </c>
      <c r="T16" s="27" t="n">
        <v>0.0597</v>
      </c>
      <c r="U16" s="24" t="n">
        <v>-25</v>
      </c>
      <c r="V16" s="24" t="n">
        <v>4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49" t="inlineStr">
        <is>
          <t>Flipped (SAD → INC)</t>
        </is>
      </c>
      <c r="E17" s="31" t="n">
        <v>89</v>
      </c>
      <c r="F17" s="31" t="n">
        <v>90</v>
      </c>
      <c r="G17" s="31" t="n">
        <v>96</v>
      </c>
      <c r="H17" s="31" t="n">
        <v>0</v>
      </c>
      <c r="I17" s="31" t="n">
        <v>278</v>
      </c>
      <c r="J17" s="33" t="inlineStr">
        <is>
          <t>SAD</t>
        </is>
      </c>
      <c r="K17" s="31" t="n">
        <v>113</v>
      </c>
      <c r="L17" s="31" t="n">
        <v>69</v>
      </c>
      <c r="M17" s="31" t="n">
        <v>21</v>
      </c>
      <c r="N17" s="31" t="n">
        <v>32</v>
      </c>
      <c r="O17" s="31" t="n">
        <v>243</v>
      </c>
      <c r="P17" s="33" t="inlineStr">
        <is>
          <t>INC</t>
        </is>
      </c>
      <c r="Q17" s="34" t="n">
        <v>0.1449</v>
      </c>
      <c r="R17" s="34" t="n">
        <v>-0.0397</v>
      </c>
      <c r="S17" s="34" t="n">
        <v>-0.2589</v>
      </c>
      <c r="T17" s="34" t="n">
        <v>0.1317</v>
      </c>
      <c r="U17" s="31" t="n">
        <v>-35</v>
      </c>
      <c r="V17" s="31" t="n">
        <v>44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48" t="inlineStr">
        <is>
          <t>Retained AAP</t>
        </is>
      </c>
      <c r="E18" s="24" t="n">
        <v>199</v>
      </c>
      <c r="F18" s="24" t="n">
        <v>227</v>
      </c>
      <c r="G18" s="24" t="n">
        <v>194</v>
      </c>
      <c r="H18" s="24" t="n">
        <v>6</v>
      </c>
      <c r="I18" s="24" t="n">
        <v>645</v>
      </c>
      <c r="J18" s="26" t="inlineStr">
        <is>
          <t>AAP</t>
        </is>
      </c>
      <c r="K18" s="24" t="n">
        <v>142</v>
      </c>
      <c r="L18" s="24" t="n">
        <v>153</v>
      </c>
      <c r="M18" s="24" t="n">
        <v>132</v>
      </c>
      <c r="N18" s="24" t="n">
        <v>16</v>
      </c>
      <c r="O18" s="24" t="n">
        <v>512</v>
      </c>
      <c r="P18" s="26" t="inlineStr">
        <is>
          <t>AAP</t>
        </is>
      </c>
      <c r="Q18" s="27" t="n">
        <v>-0.0312</v>
      </c>
      <c r="R18" s="27" t="n">
        <v>-0.05309999999999999</v>
      </c>
      <c r="S18" s="27" t="n">
        <v>-0.043</v>
      </c>
      <c r="T18" s="27" t="n">
        <v>0.0219</v>
      </c>
      <c r="U18" s="24" t="n">
        <v>-133</v>
      </c>
      <c r="V18" s="24" t="n">
        <v>11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48" t="inlineStr">
        <is>
          <t>Retained INC</t>
        </is>
      </c>
      <c r="E19" s="31" t="n">
        <v>283</v>
      </c>
      <c r="F19" s="31" t="n">
        <v>188</v>
      </c>
      <c r="G19" s="31" t="n">
        <v>126</v>
      </c>
      <c r="H19" s="31" t="n">
        <v>28</v>
      </c>
      <c r="I19" s="31" t="n">
        <v>668</v>
      </c>
      <c r="J19" s="33" t="inlineStr">
        <is>
          <t>INC</t>
        </is>
      </c>
      <c r="K19" s="31" t="n">
        <v>212</v>
      </c>
      <c r="L19" s="31" t="n">
        <v>105</v>
      </c>
      <c r="M19" s="31" t="n">
        <v>92</v>
      </c>
      <c r="N19" s="31" t="n">
        <v>126</v>
      </c>
      <c r="O19" s="31" t="n">
        <v>601</v>
      </c>
      <c r="P19" s="33" t="inlineStr">
        <is>
          <t>INC</t>
        </is>
      </c>
      <c r="Q19" s="34" t="n">
        <v>-0.07099999999999999</v>
      </c>
      <c r="R19" s="34" t="n">
        <v>-0.1067</v>
      </c>
      <c r="S19" s="34" t="n">
        <v>-0.0355</v>
      </c>
      <c r="T19" s="34" t="n">
        <v>0.1678</v>
      </c>
      <c r="U19" s="31" t="n">
        <v>-67</v>
      </c>
      <c r="V19" s="31" t="n">
        <v>86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49" t="inlineStr">
        <is>
          <t>Flipped (AAP → BJP)</t>
        </is>
      </c>
      <c r="E20" s="24" t="n">
        <v>190</v>
      </c>
      <c r="F20" s="24" t="n">
        <v>211</v>
      </c>
      <c r="G20" s="24" t="n">
        <v>161</v>
      </c>
      <c r="H20" s="24" t="n">
        <v>43</v>
      </c>
      <c r="I20" s="24" t="n">
        <v>658</v>
      </c>
      <c r="J20" s="26" t="inlineStr">
        <is>
          <t>AAP</t>
        </is>
      </c>
      <c r="K20" s="24" t="n">
        <v>101</v>
      </c>
      <c r="L20" s="24" t="n">
        <v>131</v>
      </c>
      <c r="M20" s="24" t="n">
        <v>107</v>
      </c>
      <c r="N20" s="24" t="n">
        <v>173</v>
      </c>
      <c r="O20" s="24" t="n">
        <v>573</v>
      </c>
      <c r="P20" s="26" t="inlineStr">
        <is>
          <t>BJP</t>
        </is>
      </c>
      <c r="Q20" s="27" t="n">
        <v>-0.1125</v>
      </c>
      <c r="R20" s="27" t="n">
        <v>-0.09210000000000002</v>
      </c>
      <c r="S20" s="27" t="n">
        <v>-0.058</v>
      </c>
      <c r="T20" s="27" t="n">
        <v>0.2366</v>
      </c>
      <c r="U20" s="24" t="n">
        <v>-85</v>
      </c>
      <c r="V20" s="24" t="n">
        <v>42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48" t="inlineStr">
        <is>
          <t>Retained SAD</t>
        </is>
      </c>
      <c r="E21" s="31" t="n">
        <v>104</v>
      </c>
      <c r="F21" s="31" t="n">
        <v>112</v>
      </c>
      <c r="G21" s="31" t="n">
        <v>141</v>
      </c>
      <c r="H21" s="31" t="n">
        <v>14</v>
      </c>
      <c r="I21" s="31" t="n">
        <v>403</v>
      </c>
      <c r="J21" s="33" t="inlineStr">
        <is>
          <t>SAD</t>
        </is>
      </c>
      <c r="K21" s="31" t="n">
        <v>74</v>
      </c>
      <c r="L21" s="31" t="n">
        <v>85</v>
      </c>
      <c r="M21" s="31" t="n">
        <v>103</v>
      </c>
      <c r="N21" s="31" t="n">
        <v>56</v>
      </c>
      <c r="O21" s="31" t="n">
        <v>348</v>
      </c>
      <c r="P21" s="33" t="inlineStr">
        <is>
          <t>SAD</t>
        </is>
      </c>
      <c r="Q21" s="34" t="n">
        <v>-0.0455</v>
      </c>
      <c r="R21" s="34" t="n">
        <v>-0.0336</v>
      </c>
      <c r="S21" s="34" t="n">
        <v>-0.0539</v>
      </c>
      <c r="T21" s="34" t="n">
        <v>0.1262</v>
      </c>
      <c r="U21" s="31" t="n">
        <v>-55</v>
      </c>
      <c r="V21" s="31" t="n">
        <v>18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49" t="inlineStr">
        <is>
          <t>Flipped (AAP → INC)</t>
        </is>
      </c>
      <c r="E22" s="24" t="n">
        <v>80</v>
      </c>
      <c r="F22" s="24" t="n">
        <v>132</v>
      </c>
      <c r="G22" s="24" t="n">
        <v>90</v>
      </c>
      <c r="H22" s="24" t="n">
        <v>22</v>
      </c>
      <c r="I22" s="24" t="n">
        <v>375</v>
      </c>
      <c r="J22" s="26" t="inlineStr">
        <is>
          <t>AAP</t>
        </is>
      </c>
      <c r="K22" s="24" t="n">
        <v>80</v>
      </c>
      <c r="L22" s="24" t="n">
        <v>75</v>
      </c>
      <c r="M22" s="24" t="n">
        <v>65</v>
      </c>
      <c r="N22" s="24" t="n">
        <v>67</v>
      </c>
      <c r="O22" s="24" t="n">
        <v>324</v>
      </c>
      <c r="P22" s="26" t="inlineStr">
        <is>
          <t>INC</t>
        </is>
      </c>
      <c r="Q22" s="27" t="n">
        <v>0.0336</v>
      </c>
      <c r="R22" s="27" t="n">
        <v>-0.1205</v>
      </c>
      <c r="S22" s="27" t="n">
        <v>-0.0394</v>
      </c>
      <c r="T22" s="27" t="n">
        <v>0.1481</v>
      </c>
      <c r="U22" s="24" t="n">
        <v>-51</v>
      </c>
      <c r="V22" s="24" t="n">
        <v>5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49" t="inlineStr">
        <is>
          <t>Flipped (SAD → BJP)</t>
        </is>
      </c>
      <c r="E23" s="31" t="n">
        <v>161</v>
      </c>
      <c r="F23" s="31" t="n">
        <v>158</v>
      </c>
      <c r="G23" s="31" t="n">
        <v>165</v>
      </c>
      <c r="H23" s="31" t="n">
        <v>22</v>
      </c>
      <c r="I23" s="31" t="n">
        <v>552</v>
      </c>
      <c r="J23" s="33" t="inlineStr">
        <is>
          <t>SAD</t>
        </is>
      </c>
      <c r="K23" s="31" t="n">
        <v>80</v>
      </c>
      <c r="L23" s="31" t="n">
        <v>114</v>
      </c>
      <c r="M23" s="31" t="n">
        <v>81</v>
      </c>
      <c r="N23" s="31" t="n">
        <v>163</v>
      </c>
      <c r="O23" s="31" t="n">
        <v>515</v>
      </c>
      <c r="P23" s="33" t="inlineStr">
        <is>
          <t>BJP</t>
        </is>
      </c>
      <c r="Q23" s="34" t="n">
        <v>-0.1364</v>
      </c>
      <c r="R23" s="34" t="n">
        <v>-0.06480000000000001</v>
      </c>
      <c r="S23" s="34" t="n">
        <v>-0.1416</v>
      </c>
      <c r="T23" s="34" t="n">
        <v>0.2766</v>
      </c>
      <c r="U23" s="31" t="n">
        <v>-37</v>
      </c>
      <c r="V23" s="31" t="n">
        <v>49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49" t="inlineStr">
        <is>
          <t>Flipped (AAP → BJP)</t>
        </is>
      </c>
      <c r="E24" s="24" t="n">
        <v>198</v>
      </c>
      <c r="F24" s="24" t="n">
        <v>202</v>
      </c>
      <c r="G24" s="24" t="n">
        <v>142</v>
      </c>
      <c r="H24" s="24" t="n">
        <v>10</v>
      </c>
      <c r="I24" s="24" t="n">
        <v>575</v>
      </c>
      <c r="J24" s="26" t="inlineStr">
        <is>
          <t>AAP</t>
        </is>
      </c>
      <c r="K24" s="24" t="n">
        <v>110</v>
      </c>
      <c r="L24" s="24" t="n">
        <v>142</v>
      </c>
      <c r="M24" s="24" t="n">
        <v>87</v>
      </c>
      <c r="N24" s="24" t="n">
        <v>149</v>
      </c>
      <c r="O24" s="24" t="n">
        <v>563</v>
      </c>
      <c r="P24" s="26" t="inlineStr">
        <is>
          <t>BJP</t>
        </is>
      </c>
      <c r="Q24" s="27" t="n">
        <v>-0.1489</v>
      </c>
      <c r="R24" s="27" t="n">
        <v>-0.09910000000000001</v>
      </c>
      <c r="S24" s="27" t="n">
        <v>-0.0925</v>
      </c>
      <c r="T24" s="27" t="n">
        <v>0.2473</v>
      </c>
      <c r="U24" s="24" t="n">
        <v>-12</v>
      </c>
      <c r="V24" s="24" t="n">
        <v>7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49" t="inlineStr">
        <is>
          <t>Flipped (INC → BJP)</t>
        </is>
      </c>
      <c r="E25" s="31" t="n">
        <v>180</v>
      </c>
      <c r="F25" s="31" t="n">
        <v>119</v>
      </c>
      <c r="G25" s="31" t="n">
        <v>159</v>
      </c>
      <c r="H25" s="31" t="n">
        <v>30</v>
      </c>
      <c r="I25" s="31" t="n">
        <v>526</v>
      </c>
      <c r="J25" s="33" t="inlineStr">
        <is>
          <t>INC</t>
        </is>
      </c>
      <c r="K25" s="31" t="n">
        <v>67</v>
      </c>
      <c r="L25" s="31" t="n">
        <v>90</v>
      </c>
      <c r="M25" s="31" t="n">
        <v>118</v>
      </c>
      <c r="N25" s="31" t="n">
        <v>155</v>
      </c>
      <c r="O25" s="31" t="n">
        <v>493</v>
      </c>
      <c r="P25" s="33" t="inlineStr">
        <is>
          <t>BJP</t>
        </is>
      </c>
      <c r="Q25" s="34" t="n">
        <v>-0.2063</v>
      </c>
      <c r="R25" s="34" t="n">
        <v>-0.0436</v>
      </c>
      <c r="S25" s="34" t="n">
        <v>-0.0629</v>
      </c>
      <c r="T25" s="34" t="n">
        <v>0.2574</v>
      </c>
      <c r="U25" s="31" t="n">
        <v>-33</v>
      </c>
      <c r="V25" s="31" t="n">
        <v>37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48" t="inlineStr">
        <is>
          <t>Retained SAD</t>
        </is>
      </c>
      <c r="E26" s="24" t="n">
        <v>145</v>
      </c>
      <c r="F26" s="24" t="n">
        <v>165</v>
      </c>
      <c r="G26" s="24" t="n">
        <v>178</v>
      </c>
      <c r="H26" s="24" t="n">
        <v>39</v>
      </c>
      <c r="I26" s="24" t="n">
        <v>583</v>
      </c>
      <c r="J26" s="26" t="inlineStr">
        <is>
          <t>SAD</t>
        </is>
      </c>
      <c r="K26" s="24" t="n">
        <v>78</v>
      </c>
      <c r="L26" s="24" t="n">
        <v>130</v>
      </c>
      <c r="M26" s="24" t="n">
        <v>131</v>
      </c>
      <c r="N26" s="24" t="n">
        <v>131</v>
      </c>
      <c r="O26" s="24" t="n">
        <v>534</v>
      </c>
      <c r="P26" s="26" t="inlineStr">
        <is>
          <t>SAD</t>
        </is>
      </c>
      <c r="Q26" s="27" t="n">
        <v>-0.1026</v>
      </c>
      <c r="R26" s="27" t="n">
        <v>-0.0396</v>
      </c>
      <c r="S26" s="27" t="n">
        <v>-0.06</v>
      </c>
      <c r="T26" s="27" t="n">
        <v>0.1784</v>
      </c>
      <c r="U26" s="24" t="n">
        <v>-49</v>
      </c>
      <c r="V26" s="24" t="n">
        <v>0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48" t="inlineStr">
        <is>
          <t>Retained INC</t>
        </is>
      </c>
      <c r="E27" s="31" t="n">
        <v>164</v>
      </c>
      <c r="F27" s="31" t="n">
        <v>62</v>
      </c>
      <c r="G27" s="31" t="n">
        <v>105</v>
      </c>
      <c r="H27" s="31" t="n">
        <v>1</v>
      </c>
      <c r="I27" s="31" t="n">
        <v>338</v>
      </c>
      <c r="J27" s="33" t="inlineStr">
        <is>
          <t>INC</t>
        </is>
      </c>
      <c r="K27" s="31" t="n">
        <v>115</v>
      </c>
      <c r="L27" s="31" t="n">
        <v>70</v>
      </c>
      <c r="M27" s="31" t="n">
        <v>46</v>
      </c>
      <c r="N27" s="31" t="n">
        <v>26</v>
      </c>
      <c r="O27" s="31" t="n">
        <v>279</v>
      </c>
      <c r="P27" s="33" t="inlineStr">
        <is>
          <t>INC</t>
        </is>
      </c>
      <c r="Q27" s="34" t="n">
        <v>-0.073</v>
      </c>
      <c r="R27" s="34" t="n">
        <v>0.0675</v>
      </c>
      <c r="S27" s="34" t="n">
        <v>-0.1458</v>
      </c>
      <c r="T27" s="34" t="n">
        <v>0.0902</v>
      </c>
      <c r="U27" s="31" t="n">
        <v>-59</v>
      </c>
      <c r="V27" s="31" t="n">
        <v>45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49" t="inlineStr">
        <is>
          <t>Flipped (SAD → INC)</t>
        </is>
      </c>
      <c r="E28" s="24" t="n">
        <v>170</v>
      </c>
      <c r="F28" s="24" t="n">
        <v>150</v>
      </c>
      <c r="G28" s="24" t="n">
        <v>200</v>
      </c>
      <c r="H28" s="24" t="n">
        <v>12</v>
      </c>
      <c r="I28" s="24" t="n">
        <v>543</v>
      </c>
      <c r="J28" s="26" t="inlineStr">
        <is>
          <t>SAD</t>
        </is>
      </c>
      <c r="K28" s="24" t="n">
        <v>160</v>
      </c>
      <c r="L28" s="24" t="n">
        <v>92</v>
      </c>
      <c r="M28" s="24" t="n">
        <v>120</v>
      </c>
      <c r="N28" s="24" t="n">
        <v>104</v>
      </c>
      <c r="O28" s="24" t="n">
        <v>509</v>
      </c>
      <c r="P28" s="26" t="inlineStr">
        <is>
          <t>INC</t>
        </is>
      </c>
      <c r="Q28" s="27" t="n">
        <v>0.0012</v>
      </c>
      <c r="R28" s="27" t="n">
        <v>-0.0955</v>
      </c>
      <c r="S28" s="27" t="n">
        <v>-0.1325</v>
      </c>
      <c r="T28" s="27" t="n">
        <v>0.1822</v>
      </c>
      <c r="U28" s="24" t="n">
        <v>-34</v>
      </c>
      <c r="V28" s="24" t="n">
        <v>40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48" t="inlineStr">
        <is>
          <t>Retained INC</t>
        </is>
      </c>
      <c r="E29" s="31" t="n">
        <v>283</v>
      </c>
      <c r="F29" s="31" t="n">
        <v>51</v>
      </c>
      <c r="G29" s="31" t="n">
        <v>52</v>
      </c>
      <c r="H29" s="31" t="n">
        <v>27</v>
      </c>
      <c r="I29" s="31" t="n">
        <v>432</v>
      </c>
      <c r="J29" s="33" t="inlineStr">
        <is>
          <t>INC</t>
        </is>
      </c>
      <c r="K29" s="31" t="n">
        <v>220</v>
      </c>
      <c r="L29" s="31" t="n">
        <v>107</v>
      </c>
      <c r="M29" s="31" t="n">
        <v>28</v>
      </c>
      <c r="N29" s="31" t="n">
        <v>24</v>
      </c>
      <c r="O29" s="31" t="n">
        <v>412</v>
      </c>
      <c r="P29" s="33" t="inlineStr">
        <is>
          <t>INC</t>
        </is>
      </c>
      <c r="Q29" s="34" t="n">
        <v>-0.1211</v>
      </c>
      <c r="R29" s="34" t="n">
        <v>0.1416</v>
      </c>
      <c r="S29" s="34" t="n">
        <v>-0.0524</v>
      </c>
      <c r="T29" s="34" t="n">
        <v>-0.0042</v>
      </c>
      <c r="U29" s="31" t="n">
        <v>-20</v>
      </c>
      <c r="V29" s="31" t="n">
        <v>113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49" t="inlineStr">
        <is>
          <t>Flipped (INC → AAP)</t>
        </is>
      </c>
      <c r="E30" s="24" t="n">
        <v>332</v>
      </c>
      <c r="F30" s="24" t="n">
        <v>142</v>
      </c>
      <c r="G30" s="24" t="n">
        <v>211</v>
      </c>
      <c r="H30" s="24" t="n">
        <v>33</v>
      </c>
      <c r="I30" s="24" t="n">
        <v>735</v>
      </c>
      <c r="J30" s="26" t="inlineStr">
        <is>
          <t>INC</t>
        </is>
      </c>
      <c r="K30" s="24" t="n">
        <v>152</v>
      </c>
      <c r="L30" s="24" t="n">
        <v>220</v>
      </c>
      <c r="M30" s="24" t="n">
        <v>210</v>
      </c>
      <c r="N30" s="24" t="n">
        <v>53</v>
      </c>
      <c r="O30" s="24" t="n">
        <v>691</v>
      </c>
      <c r="P30" s="26" t="inlineStr">
        <is>
          <t>AAP</t>
        </is>
      </c>
      <c r="Q30" s="27" t="n">
        <v>-0.2317</v>
      </c>
      <c r="R30" s="27" t="n">
        <v>0.1252</v>
      </c>
      <c r="S30" s="27" t="n">
        <v>0.0168</v>
      </c>
      <c r="T30" s="27" t="n">
        <v>0.0318</v>
      </c>
      <c r="U30" s="24" t="n">
        <v>-44</v>
      </c>
      <c r="V30" s="24" t="n">
        <v>10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49" t="inlineStr">
        <is>
          <t>Flipped (INC → AAP)</t>
        </is>
      </c>
      <c r="E31" s="31" t="n">
        <v>213</v>
      </c>
      <c r="F31" s="31" t="n">
        <v>199</v>
      </c>
      <c r="G31" s="31" t="n">
        <v>126</v>
      </c>
      <c r="H31" s="31" t="n">
        <v>3</v>
      </c>
      <c r="I31" s="31" t="n">
        <v>564</v>
      </c>
      <c r="J31" s="33" t="inlineStr">
        <is>
          <t>INC</t>
        </is>
      </c>
      <c r="K31" s="31" t="n">
        <v>157</v>
      </c>
      <c r="L31" s="31" t="n">
        <v>197</v>
      </c>
      <c r="M31" s="31" t="n">
        <v>88</v>
      </c>
      <c r="N31" s="31" t="n">
        <v>41</v>
      </c>
      <c r="O31" s="31" t="n">
        <v>509</v>
      </c>
      <c r="P31" s="33" t="inlineStr">
        <is>
          <t>AAP</t>
        </is>
      </c>
      <c r="Q31" s="34" t="n">
        <v>-0.0693</v>
      </c>
      <c r="R31" s="34" t="n">
        <v>0.0342</v>
      </c>
      <c r="S31" s="34" t="n">
        <v>-0.0505</v>
      </c>
      <c r="T31" s="34" t="n">
        <v>0.07530000000000001</v>
      </c>
      <c r="U31" s="31" t="n">
        <v>-55</v>
      </c>
      <c r="V31" s="31" t="n">
        <v>40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48" t="inlineStr">
        <is>
          <t>Retained INC</t>
        </is>
      </c>
      <c r="E32" s="24" t="n">
        <v>162</v>
      </c>
      <c r="F32" s="24" t="n">
        <v>59</v>
      </c>
      <c r="G32" s="24" t="n">
        <v>77</v>
      </c>
      <c r="H32" s="24" t="n">
        <v>5</v>
      </c>
      <c r="I32" s="24" t="n">
        <v>317</v>
      </c>
      <c r="J32" s="26" t="inlineStr">
        <is>
          <t>INC</t>
        </is>
      </c>
      <c r="K32" s="24" t="n">
        <v>122</v>
      </c>
      <c r="L32" s="24" t="n">
        <v>93</v>
      </c>
      <c r="M32" s="24" t="n">
        <v>22</v>
      </c>
      <c r="N32" s="24" t="n">
        <v>43</v>
      </c>
      <c r="O32" s="24" t="n">
        <v>300</v>
      </c>
      <c r="P32" s="26" t="inlineStr">
        <is>
          <t>INC</t>
        </is>
      </c>
      <c r="Q32" s="27" t="n">
        <v>-0.1043</v>
      </c>
      <c r="R32" s="27" t="n">
        <v>0.1239</v>
      </c>
      <c r="S32" s="27" t="n">
        <v>-0.1696</v>
      </c>
      <c r="T32" s="27" t="n">
        <v>0.1275</v>
      </c>
      <c r="U32" s="24" t="n">
        <v>-17</v>
      </c>
      <c r="V32" s="24" t="n">
        <v>29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48" t="inlineStr">
        <is>
          <t>Retained INC</t>
        </is>
      </c>
      <c r="E33" s="31" t="n">
        <v>165</v>
      </c>
      <c r="F33" s="31" t="n">
        <v>76</v>
      </c>
      <c r="G33" s="31" t="n">
        <v>89</v>
      </c>
      <c r="H33" s="31" t="n">
        <v>12</v>
      </c>
      <c r="I33" s="31" t="n">
        <v>353</v>
      </c>
      <c r="J33" s="33" t="inlineStr">
        <is>
          <t>INC</t>
        </is>
      </c>
      <c r="K33" s="31" t="n">
        <v>130</v>
      </c>
      <c r="L33" s="31" t="n">
        <v>107</v>
      </c>
      <c r="M33" s="31" t="n">
        <v>13</v>
      </c>
      <c r="N33" s="31" t="n">
        <v>76</v>
      </c>
      <c r="O33" s="31" t="n">
        <v>361</v>
      </c>
      <c r="P33" s="33" t="inlineStr">
        <is>
          <t>INC</t>
        </is>
      </c>
      <c r="Q33" s="34" t="n">
        <v>-0.1073</v>
      </c>
      <c r="R33" s="34" t="n">
        <v>0.08109999999999999</v>
      </c>
      <c r="S33" s="34" t="n">
        <v>-0.2161</v>
      </c>
      <c r="T33" s="34" t="n">
        <v>0.1765</v>
      </c>
      <c r="U33" s="31" t="n">
        <v>8</v>
      </c>
      <c r="V33" s="31" t="n">
        <v>23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48" t="inlineStr">
        <is>
          <t>Retained INC</t>
        </is>
      </c>
      <c r="E34" s="24" t="n">
        <v>175</v>
      </c>
      <c r="F34" s="24" t="n">
        <v>56</v>
      </c>
      <c r="G34" s="24" t="n">
        <v>133</v>
      </c>
      <c r="H34" s="24" t="n">
        <v>1</v>
      </c>
      <c r="I34" s="24" t="n">
        <v>389</v>
      </c>
      <c r="J34" s="26" t="inlineStr">
        <is>
          <t>INC</t>
        </is>
      </c>
      <c r="K34" s="24" t="n">
        <v>136</v>
      </c>
      <c r="L34" s="24" t="n">
        <v>96</v>
      </c>
      <c r="M34" s="24" t="n">
        <v>45</v>
      </c>
      <c r="N34" s="24" t="n">
        <v>67</v>
      </c>
      <c r="O34" s="24" t="n">
        <v>363</v>
      </c>
      <c r="P34" s="26" t="inlineStr">
        <is>
          <t>INC</t>
        </is>
      </c>
      <c r="Q34" s="27" t="n">
        <v>-0.07519999999999999</v>
      </c>
      <c r="R34" s="27" t="n">
        <v>0.1205</v>
      </c>
      <c r="S34" s="27" t="n">
        <v>-0.2179</v>
      </c>
      <c r="T34" s="27" t="n">
        <v>0.182</v>
      </c>
      <c r="U34" s="24" t="n">
        <v>-26</v>
      </c>
      <c r="V34" s="24" t="n">
        <v>40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48" t="inlineStr">
        <is>
          <t>Retained INC</t>
        </is>
      </c>
      <c r="E35" s="31" t="n">
        <v>352</v>
      </c>
      <c r="F35" s="31" t="n">
        <v>94</v>
      </c>
      <c r="G35" s="31" t="n">
        <v>125</v>
      </c>
      <c r="H35" s="31" t="n">
        <v>5</v>
      </c>
      <c r="I35" s="31" t="n">
        <v>598</v>
      </c>
      <c r="J35" s="33" t="inlineStr">
        <is>
          <t>INC</t>
        </is>
      </c>
      <c r="K35" s="31" t="n">
        <v>298</v>
      </c>
      <c r="L35" s="31" t="n">
        <v>98</v>
      </c>
      <c r="M35" s="31" t="n">
        <v>32</v>
      </c>
      <c r="N35" s="31" t="n">
        <v>47</v>
      </c>
      <c r="O35" s="31" t="n">
        <v>517</v>
      </c>
      <c r="P35" s="33" t="inlineStr">
        <is>
          <t>INC</t>
        </is>
      </c>
      <c r="Q35" s="34" t="n">
        <v>-0.0122</v>
      </c>
      <c r="R35" s="34" t="n">
        <v>0.03240000000000001</v>
      </c>
      <c r="S35" s="34" t="n">
        <v>-0.1471</v>
      </c>
      <c r="T35" s="34" t="n">
        <v>0.0825</v>
      </c>
      <c r="U35" s="31" t="n">
        <v>-81</v>
      </c>
      <c r="V35" s="31" t="n">
        <v>200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49" t="inlineStr">
        <is>
          <t>Flipped (INC → AAP)</t>
        </is>
      </c>
      <c r="E36" s="24" t="n">
        <v>243</v>
      </c>
      <c r="F36" s="24" t="n">
        <v>176</v>
      </c>
      <c r="G36" s="24" t="n">
        <v>155</v>
      </c>
      <c r="H36" s="24" t="n">
        <v>10</v>
      </c>
      <c r="I36" s="24" t="n">
        <v>629</v>
      </c>
      <c r="J36" s="26" t="inlineStr">
        <is>
          <t>INC</t>
        </is>
      </c>
      <c r="K36" s="24" t="n">
        <v>190</v>
      </c>
      <c r="L36" s="24" t="n">
        <v>194</v>
      </c>
      <c r="M36" s="24" t="n">
        <v>125</v>
      </c>
      <c r="N36" s="24" t="n">
        <v>78</v>
      </c>
      <c r="O36" s="24" t="n">
        <v>653</v>
      </c>
      <c r="P36" s="26" t="inlineStr">
        <is>
          <t>AAP</t>
        </is>
      </c>
      <c r="Q36" s="27" t="n">
        <v>-0.0953</v>
      </c>
      <c r="R36" s="27" t="n">
        <v>0.0173</v>
      </c>
      <c r="S36" s="27" t="n">
        <v>-0.055</v>
      </c>
      <c r="T36" s="27" t="n">
        <v>0.1035</v>
      </c>
      <c r="U36" s="24" t="n">
        <v>24</v>
      </c>
      <c r="V36" s="24" t="n">
        <v>4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48" t="inlineStr">
        <is>
          <t>Retained AAP</t>
        </is>
      </c>
      <c r="E37" s="31" t="n">
        <v>162</v>
      </c>
      <c r="F37" s="31" t="n">
        <v>272</v>
      </c>
      <c r="G37" s="31" t="n">
        <v>190</v>
      </c>
      <c r="H37" s="31" t="n">
        <v>3</v>
      </c>
      <c r="I37" s="31" t="n">
        <v>661</v>
      </c>
      <c r="J37" s="33" t="inlineStr">
        <is>
          <t>AAP</t>
        </is>
      </c>
      <c r="K37" s="31" t="n">
        <v>120</v>
      </c>
      <c r="L37" s="31" t="n">
        <v>162</v>
      </c>
      <c r="M37" s="31" t="n">
        <v>137</v>
      </c>
      <c r="N37" s="31" t="n">
        <v>47</v>
      </c>
      <c r="O37" s="31" t="n">
        <v>564</v>
      </c>
      <c r="P37" s="33" t="inlineStr">
        <is>
          <t>AAP</t>
        </is>
      </c>
      <c r="Q37" s="34" t="n">
        <v>-0.0323</v>
      </c>
      <c r="R37" s="34" t="n">
        <v>-0.1243</v>
      </c>
      <c r="S37" s="34" t="n">
        <v>-0.0445</v>
      </c>
      <c r="T37" s="34" t="n">
        <v>0.0788</v>
      </c>
      <c r="U37" s="31" t="n">
        <v>-97</v>
      </c>
      <c r="V37" s="31" t="n">
        <v>25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49" t="inlineStr">
        <is>
          <t>Flipped (SAD → INC)</t>
        </is>
      </c>
      <c r="E38" s="24" t="n">
        <v>246</v>
      </c>
      <c r="F38" s="24" t="n">
        <v>134</v>
      </c>
      <c r="G38" s="24" t="n">
        <v>335</v>
      </c>
      <c r="H38" s="24" t="n">
        <v>12</v>
      </c>
      <c r="I38" s="24" t="n">
        <v>797</v>
      </c>
      <c r="J38" s="26" t="inlineStr">
        <is>
          <t>SAD</t>
        </is>
      </c>
      <c r="K38" s="24" t="n">
        <v>280</v>
      </c>
      <c r="L38" s="24" t="n">
        <v>48</v>
      </c>
      <c r="M38" s="24" t="n">
        <v>179</v>
      </c>
      <c r="N38" s="24" t="n">
        <v>174</v>
      </c>
      <c r="O38" s="24" t="n">
        <v>749</v>
      </c>
      <c r="P38" s="26" t="inlineStr">
        <is>
          <t>INC</t>
        </is>
      </c>
      <c r="Q38" s="27" t="n">
        <v>0.06509999999999999</v>
      </c>
      <c r="R38" s="27" t="n">
        <v>-0.104</v>
      </c>
      <c r="S38" s="27" t="n">
        <v>-0.1813</v>
      </c>
      <c r="T38" s="27" t="n">
        <v>0.2172</v>
      </c>
      <c r="U38" s="24" t="n">
        <v>-48</v>
      </c>
      <c r="V38" s="24" t="n">
        <v>101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49" t="inlineStr">
        <is>
          <t>Flipped (SAD → INC)</t>
        </is>
      </c>
      <c r="E39" s="31" t="n">
        <v>342</v>
      </c>
      <c r="F39" s="31" t="n">
        <v>124</v>
      </c>
      <c r="G39" s="31" t="n">
        <v>418</v>
      </c>
      <c r="H39" s="31" t="n">
        <v>16</v>
      </c>
      <c r="I39" s="31" t="n">
        <v>932</v>
      </c>
      <c r="J39" s="33" t="inlineStr">
        <is>
          <t>SAD</t>
        </is>
      </c>
      <c r="K39" s="31" t="n">
        <v>276</v>
      </c>
      <c r="L39" s="31" t="n">
        <v>204</v>
      </c>
      <c r="M39" s="31" t="n">
        <v>222</v>
      </c>
      <c r="N39" s="31" t="n">
        <v>37</v>
      </c>
      <c r="O39" s="31" t="n">
        <v>858</v>
      </c>
      <c r="P39" s="33" t="inlineStr">
        <is>
          <t>INC</t>
        </is>
      </c>
      <c r="Q39" s="34" t="n">
        <v>-0.0453</v>
      </c>
      <c r="R39" s="34" t="n">
        <v>0.1048</v>
      </c>
      <c r="S39" s="34" t="n">
        <v>-0.1898</v>
      </c>
      <c r="T39" s="34" t="n">
        <v>0.0259</v>
      </c>
      <c r="U39" s="31" t="n">
        <v>-74</v>
      </c>
      <c r="V39" s="31" t="n">
        <v>54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48" t="inlineStr">
        <is>
          <t>Retained INC</t>
        </is>
      </c>
      <c r="E40" s="24" t="n">
        <v>529</v>
      </c>
      <c r="F40" s="24" t="n">
        <v>78</v>
      </c>
      <c r="G40" s="24" t="n">
        <v>292</v>
      </c>
      <c r="H40" s="24" t="n">
        <v>9</v>
      </c>
      <c r="I40" s="24" t="n">
        <v>941</v>
      </c>
      <c r="J40" s="26" t="inlineStr">
        <is>
          <t>INC</t>
        </is>
      </c>
      <c r="K40" s="24" t="n">
        <v>439</v>
      </c>
      <c r="L40" s="24" t="n">
        <v>149</v>
      </c>
      <c r="M40" s="24" t="n">
        <v>96</v>
      </c>
      <c r="N40" s="24" t="n">
        <v>81</v>
      </c>
      <c r="O40" s="24" t="n">
        <v>826</v>
      </c>
      <c r="P40" s="26" t="inlineStr">
        <is>
          <t>INC</t>
        </is>
      </c>
      <c r="Q40" s="27" t="n">
        <v>-0.0307</v>
      </c>
      <c r="R40" s="27" t="n">
        <v>0.0975</v>
      </c>
      <c r="S40" s="27" t="n">
        <v>-0.1941</v>
      </c>
      <c r="T40" s="27" t="n">
        <v>0.0885</v>
      </c>
      <c r="U40" s="24" t="n">
        <v>-115</v>
      </c>
      <c r="V40" s="24" t="n">
        <v>290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48" t="inlineStr">
        <is>
          <t>Retained INC</t>
        </is>
      </c>
      <c r="E41" s="31" t="n">
        <v>245</v>
      </c>
      <c r="F41" s="31" t="n">
        <v>155</v>
      </c>
      <c r="G41" s="31" t="n">
        <v>91</v>
      </c>
      <c r="H41" s="31" t="n">
        <v>4</v>
      </c>
      <c r="I41" s="31" t="n">
        <v>520</v>
      </c>
      <c r="J41" s="33" t="inlineStr">
        <is>
          <t>INC</t>
        </is>
      </c>
      <c r="K41" s="31" t="n">
        <v>158</v>
      </c>
      <c r="L41" s="31" t="n">
        <v>130</v>
      </c>
      <c r="M41" s="31" t="n">
        <v>17</v>
      </c>
      <c r="N41" s="31" t="n">
        <v>97</v>
      </c>
      <c r="O41" s="31" t="n">
        <v>452</v>
      </c>
      <c r="P41" s="33" t="inlineStr">
        <is>
          <t>INC</t>
        </is>
      </c>
      <c r="Q41" s="34" t="n">
        <v>-0.1216</v>
      </c>
      <c r="R41" s="34" t="n">
        <v>-0.0105</v>
      </c>
      <c r="S41" s="34" t="n">
        <v>-0.1374</v>
      </c>
      <c r="T41" s="34" t="n">
        <v>0.2069</v>
      </c>
      <c r="U41" s="31" t="n">
        <v>-68</v>
      </c>
      <c r="V41" s="31" t="n">
        <v>28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48" t="inlineStr">
        <is>
          <t>Retained INC</t>
        </is>
      </c>
      <c r="E42" s="24" t="n">
        <v>161</v>
      </c>
      <c r="F42" s="24" t="n">
        <v>157</v>
      </c>
      <c r="G42" s="24" t="n">
        <v>73</v>
      </c>
      <c r="H42" s="24" t="n">
        <v>2</v>
      </c>
      <c r="I42" s="24" t="n">
        <v>407</v>
      </c>
      <c r="J42" s="26" t="inlineStr">
        <is>
          <t>INC</t>
        </is>
      </c>
      <c r="K42" s="24" t="n">
        <v>190</v>
      </c>
      <c r="L42" s="24" t="n">
        <v>76</v>
      </c>
      <c r="M42" s="24" t="n">
        <v>40</v>
      </c>
      <c r="N42" s="24" t="n">
        <v>4</v>
      </c>
      <c r="O42" s="24" t="n">
        <v>349</v>
      </c>
      <c r="P42" s="26" t="inlineStr">
        <is>
          <t>INC</t>
        </is>
      </c>
      <c r="Q42" s="27" t="n">
        <v>0.1488</v>
      </c>
      <c r="R42" s="27" t="n">
        <v>-0.1679</v>
      </c>
      <c r="S42" s="27" t="n">
        <v>-0.06480000000000001</v>
      </c>
      <c r="T42" s="27" t="n">
        <v>0.0066</v>
      </c>
      <c r="U42" s="24" t="n">
        <v>-58</v>
      </c>
      <c r="V42" s="24" t="n">
        <v>114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48" t="inlineStr">
        <is>
          <t>Retained INC</t>
        </is>
      </c>
      <c r="E43" s="31" t="n">
        <v>259</v>
      </c>
      <c r="F43" s="31" t="n">
        <v>132</v>
      </c>
      <c r="G43" s="31" t="n">
        <v>160</v>
      </c>
      <c r="H43" s="31" t="n">
        <v>9</v>
      </c>
      <c r="I43" s="31" t="n">
        <v>590</v>
      </c>
      <c r="J43" s="33" t="inlineStr">
        <is>
          <t>INC</t>
        </is>
      </c>
      <c r="K43" s="31" t="n">
        <v>223</v>
      </c>
      <c r="L43" s="31" t="n">
        <v>102</v>
      </c>
      <c r="M43" s="31" t="n">
        <v>85</v>
      </c>
      <c r="N43" s="31" t="n">
        <v>68</v>
      </c>
      <c r="O43" s="31" t="n">
        <v>512</v>
      </c>
      <c r="P43" s="33" t="inlineStr">
        <is>
          <t>INC</t>
        </is>
      </c>
      <c r="Q43" s="34" t="n">
        <v>-0.0035</v>
      </c>
      <c r="R43" s="34" t="n">
        <v>-0.0245</v>
      </c>
      <c r="S43" s="34" t="n">
        <v>-0.1052</v>
      </c>
      <c r="T43" s="34" t="n">
        <v>0.1175</v>
      </c>
      <c r="U43" s="31" t="n">
        <v>-78</v>
      </c>
      <c r="V43" s="31" t="n">
        <v>121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49" t="inlineStr">
        <is>
          <t>Flipped (AAP → INC)</t>
        </is>
      </c>
      <c r="E44" s="24" t="n">
        <v>159</v>
      </c>
      <c r="F44" s="24" t="n">
        <v>229</v>
      </c>
      <c r="G44" s="24" t="n">
        <v>161</v>
      </c>
      <c r="H44" s="24" t="n">
        <v>4</v>
      </c>
      <c r="I44" s="24" t="n">
        <v>566</v>
      </c>
      <c r="J44" s="26" t="inlineStr">
        <is>
          <t>AAP</t>
        </is>
      </c>
      <c r="K44" s="24" t="n">
        <v>162</v>
      </c>
      <c r="L44" s="24" t="n">
        <v>156</v>
      </c>
      <c r="M44" s="24" t="n">
        <v>77</v>
      </c>
      <c r="N44" s="24" t="n">
        <v>15</v>
      </c>
      <c r="O44" s="24" t="n">
        <v>480</v>
      </c>
      <c r="P44" s="26" t="inlineStr">
        <is>
          <t>INC</t>
        </is>
      </c>
      <c r="Q44" s="27" t="n">
        <v>0.0566</v>
      </c>
      <c r="R44" s="27" t="n">
        <v>-0.0796</v>
      </c>
      <c r="S44" s="27" t="n">
        <v>-0.1241</v>
      </c>
      <c r="T44" s="27" t="n">
        <v>0.0241</v>
      </c>
      <c r="U44" s="24" t="n">
        <v>-86</v>
      </c>
      <c r="V44" s="24" t="n">
        <v>6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48" t="inlineStr">
        <is>
          <t>Retained INC</t>
        </is>
      </c>
      <c r="E45" s="31" t="n">
        <v>275</v>
      </c>
      <c r="F45" s="31" t="n">
        <v>231</v>
      </c>
      <c r="G45" s="31" t="n">
        <v>173</v>
      </c>
      <c r="H45" s="31" t="n">
        <v>2</v>
      </c>
      <c r="I45" s="31" t="n">
        <v>695</v>
      </c>
      <c r="J45" s="33" t="inlineStr">
        <is>
          <t>INC</t>
        </is>
      </c>
      <c r="K45" s="31" t="n">
        <v>272</v>
      </c>
      <c r="L45" s="31" t="n">
        <v>199</v>
      </c>
      <c r="M45" s="31" t="n">
        <v>33</v>
      </c>
      <c r="N45" s="31" t="n">
        <v>89</v>
      </c>
      <c r="O45" s="31" t="n">
        <v>637</v>
      </c>
      <c r="P45" s="33" t="inlineStr">
        <is>
          <t>INC</t>
        </is>
      </c>
      <c r="Q45" s="34" t="n">
        <v>0.0313</v>
      </c>
      <c r="R45" s="34" t="n">
        <v>-0.02</v>
      </c>
      <c r="S45" s="34" t="n">
        <v>-0.1971</v>
      </c>
      <c r="T45" s="34" t="n">
        <v>0.1368</v>
      </c>
      <c r="U45" s="31" t="n">
        <v>-58</v>
      </c>
      <c r="V45" s="31" t="n">
        <v>73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49" t="inlineStr">
        <is>
          <t>Flipped (SAD → AAP)</t>
        </is>
      </c>
      <c r="E46" s="24" t="n">
        <v>46</v>
      </c>
      <c r="F46" s="24" t="n">
        <v>71</v>
      </c>
      <c r="G46" s="24" t="n">
        <v>122</v>
      </c>
      <c r="H46" s="24" t="n">
        <v>0</v>
      </c>
      <c r="I46" s="24" t="n">
        <v>240</v>
      </c>
      <c r="J46" s="26" t="inlineStr">
        <is>
          <t>SAD</t>
        </is>
      </c>
      <c r="K46" s="24" t="n">
        <v>72</v>
      </c>
      <c r="L46" s="24" t="n">
        <v>90</v>
      </c>
      <c r="M46" s="24" t="n">
        <v>52</v>
      </c>
      <c r="N46" s="24" t="n">
        <v>1</v>
      </c>
      <c r="O46" s="24" t="n">
        <v>229</v>
      </c>
      <c r="P46" s="26" t="inlineStr">
        <is>
          <t>AAP</t>
        </is>
      </c>
      <c r="Q46" s="27" t="n">
        <v>0.1227</v>
      </c>
      <c r="R46" s="27" t="n">
        <v>0.09720000000000001</v>
      </c>
      <c r="S46" s="27" t="n">
        <v>-0.2812</v>
      </c>
      <c r="T46" s="27" t="n">
        <v>0.0044</v>
      </c>
      <c r="U46" s="24" t="n">
        <v>-11</v>
      </c>
      <c r="V46" s="24" t="n">
        <v>18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48" t="inlineStr">
        <is>
          <t>Retained INC</t>
        </is>
      </c>
      <c r="E47" s="31" t="n">
        <v>215</v>
      </c>
      <c r="F47" s="31" t="n">
        <v>89</v>
      </c>
      <c r="G47" s="31" t="n">
        <v>178</v>
      </c>
      <c r="H47" s="31" t="n">
        <v>2</v>
      </c>
      <c r="I47" s="31" t="n">
        <v>490</v>
      </c>
      <c r="J47" s="33" t="inlineStr">
        <is>
          <t>INC</t>
        </is>
      </c>
      <c r="K47" s="31" t="n">
        <v>150</v>
      </c>
      <c r="L47" s="31" t="n">
        <v>129</v>
      </c>
      <c r="M47" s="31" t="n">
        <v>79</v>
      </c>
      <c r="N47" s="31" t="n">
        <v>3</v>
      </c>
      <c r="O47" s="31" t="n">
        <v>404</v>
      </c>
      <c r="P47" s="33" t="inlineStr">
        <is>
          <t>INC</t>
        </is>
      </c>
      <c r="Q47" s="34" t="n">
        <v>-0.0675</v>
      </c>
      <c r="R47" s="34" t="n">
        <v>0.1377</v>
      </c>
      <c r="S47" s="34" t="n">
        <v>-0.1678</v>
      </c>
      <c r="T47" s="34" t="n">
        <v>0.0033</v>
      </c>
      <c r="U47" s="31" t="n">
        <v>-86</v>
      </c>
      <c r="V47" s="31" t="n">
        <v>21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48" t="inlineStr">
        <is>
          <t>Retained INC</t>
        </is>
      </c>
      <c r="E48" s="24" t="n">
        <v>224</v>
      </c>
      <c r="F48" s="24" t="n">
        <v>152</v>
      </c>
      <c r="G48" s="24" t="n">
        <v>121</v>
      </c>
      <c r="H48" s="24" t="n">
        <v>0</v>
      </c>
      <c r="I48" s="24" t="n">
        <v>508</v>
      </c>
      <c r="J48" s="26" t="inlineStr">
        <is>
          <t>INC</t>
        </is>
      </c>
      <c r="K48" s="24" t="n">
        <v>235</v>
      </c>
      <c r="L48" s="24" t="n">
        <v>133</v>
      </c>
      <c r="M48" s="24" t="n">
        <v>61</v>
      </c>
      <c r="N48" s="24" t="n">
        <v>27</v>
      </c>
      <c r="O48" s="24" t="n">
        <v>475</v>
      </c>
      <c r="P48" s="26" t="inlineStr">
        <is>
          <t>INC</t>
        </is>
      </c>
      <c r="Q48" s="27" t="n">
        <v>0.0538</v>
      </c>
      <c r="R48" s="27" t="n">
        <v>-0.0192</v>
      </c>
      <c r="S48" s="27" t="n">
        <v>-0.1098</v>
      </c>
      <c r="T48" s="27" t="n">
        <v>0.0568</v>
      </c>
      <c r="U48" s="24" t="n">
        <v>-33</v>
      </c>
      <c r="V48" s="24" t="n">
        <v>102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49" t="inlineStr">
        <is>
          <t>Flipped (SAD → AAP)</t>
        </is>
      </c>
      <c r="E49" s="31" t="n">
        <v>208</v>
      </c>
      <c r="F49" s="31" t="n">
        <v>129</v>
      </c>
      <c r="G49" s="31" t="n">
        <v>249</v>
      </c>
      <c r="H49" s="31" t="n">
        <v>7</v>
      </c>
      <c r="I49" s="31" t="n">
        <v>614</v>
      </c>
      <c r="J49" s="33" t="inlineStr">
        <is>
          <t>SAD</t>
        </is>
      </c>
      <c r="K49" s="31" t="n">
        <v>172</v>
      </c>
      <c r="L49" s="31" t="n">
        <v>193</v>
      </c>
      <c r="M49" s="31" t="n">
        <v>11</v>
      </c>
      <c r="N49" s="31" t="n">
        <v>95</v>
      </c>
      <c r="O49" s="31" t="n">
        <v>501</v>
      </c>
      <c r="P49" s="33" t="inlineStr">
        <is>
          <t>AAP</t>
        </is>
      </c>
      <c r="Q49" s="34" t="n">
        <v>0.004500000000000001</v>
      </c>
      <c r="R49" s="34" t="n">
        <v>0.1751</v>
      </c>
      <c r="S49" s="34" t="n">
        <v>-0.3835</v>
      </c>
      <c r="T49" s="34" t="n">
        <v>0.1782</v>
      </c>
      <c r="U49" s="31" t="n">
        <v>-113</v>
      </c>
      <c r="V49" s="31" t="n">
        <v>21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48" t="inlineStr">
        <is>
          <t>Retained INC</t>
        </is>
      </c>
      <c r="E50" s="24" t="n">
        <v>131</v>
      </c>
      <c r="F50" s="24" t="n">
        <v>47</v>
      </c>
      <c r="G50" s="24" t="n">
        <v>108</v>
      </c>
      <c r="H50" s="24" t="n">
        <v>1</v>
      </c>
      <c r="I50" s="24" t="n">
        <v>299</v>
      </c>
      <c r="J50" s="26" t="inlineStr">
        <is>
          <t>INC</t>
        </is>
      </c>
      <c r="K50" s="24" t="n">
        <v>97</v>
      </c>
      <c r="L50" s="24" t="n">
        <v>64</v>
      </c>
      <c r="M50" s="24" t="n">
        <v>70</v>
      </c>
      <c r="N50" s="24" t="n">
        <v>11</v>
      </c>
      <c r="O50" s="24" t="n">
        <v>265</v>
      </c>
      <c r="P50" s="26" t="inlineStr">
        <is>
          <t>INC</t>
        </is>
      </c>
      <c r="Q50" s="27" t="n">
        <v>-0.0721</v>
      </c>
      <c r="R50" s="27" t="n">
        <v>0.0843</v>
      </c>
      <c r="S50" s="27" t="n">
        <v>-0.09699999999999999</v>
      </c>
      <c r="T50" s="27" t="n">
        <v>0.0382</v>
      </c>
      <c r="U50" s="24" t="n">
        <v>-34</v>
      </c>
      <c r="V50" s="24" t="n">
        <v>27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49" t="inlineStr">
        <is>
          <t>Flipped (SAD → BJP)</t>
        </is>
      </c>
      <c r="E51" s="31" t="n">
        <v>211</v>
      </c>
      <c r="F51" s="31" t="n">
        <v>158</v>
      </c>
      <c r="G51" s="31" t="n">
        <v>273</v>
      </c>
      <c r="H51" s="31" t="n">
        <v>7</v>
      </c>
      <c r="I51" s="31" t="n">
        <v>679</v>
      </c>
      <c r="J51" s="33" t="inlineStr">
        <is>
          <t>SAD</t>
        </is>
      </c>
      <c r="K51" s="31" t="n">
        <v>134</v>
      </c>
      <c r="L51" s="31" t="n">
        <v>141</v>
      </c>
      <c r="M51" s="31" t="n">
        <v>56</v>
      </c>
      <c r="N51" s="31" t="n">
        <v>151</v>
      </c>
      <c r="O51" s="31" t="n">
        <v>513</v>
      </c>
      <c r="P51" s="33" t="inlineStr">
        <is>
          <t>BJP</t>
        </is>
      </c>
      <c r="Q51" s="34" t="n">
        <v>-0.0496</v>
      </c>
      <c r="R51" s="34" t="n">
        <v>0.04219999999999999</v>
      </c>
      <c r="S51" s="34" t="n">
        <v>-0.2929</v>
      </c>
      <c r="T51" s="34" t="n">
        <v>0.284</v>
      </c>
      <c r="U51" s="31" t="n">
        <v>-166</v>
      </c>
      <c r="V51" s="31" t="n">
        <v>10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48" t="inlineStr">
        <is>
          <t>Retained AAP</t>
        </is>
      </c>
      <c r="E52" s="24" t="n">
        <v>180</v>
      </c>
      <c r="F52" s="24" t="n">
        <v>219</v>
      </c>
      <c r="G52" s="24" t="n">
        <v>169</v>
      </c>
      <c r="H52" s="24" t="n">
        <v>2</v>
      </c>
      <c r="I52" s="24" t="n">
        <v>594</v>
      </c>
      <c r="J52" s="26" t="inlineStr">
        <is>
          <t>AAP</t>
        </is>
      </c>
      <c r="K52" s="24" t="n">
        <v>101</v>
      </c>
      <c r="L52" s="24" t="n">
        <v>211</v>
      </c>
      <c r="M52" s="24" t="n">
        <v>28</v>
      </c>
      <c r="N52" s="24" t="n">
        <v>41</v>
      </c>
      <c r="O52" s="24" t="n">
        <v>435</v>
      </c>
      <c r="P52" s="26" t="inlineStr">
        <is>
          <t>AAP</t>
        </is>
      </c>
      <c r="Q52" s="27" t="n">
        <v>-0.0708</v>
      </c>
      <c r="R52" s="27" t="n">
        <v>0.1164</v>
      </c>
      <c r="S52" s="27" t="n">
        <v>-0.2201</v>
      </c>
      <c r="T52" s="27" t="n">
        <v>0.09089999999999999</v>
      </c>
      <c r="U52" s="24" t="n">
        <v>-159</v>
      </c>
      <c r="V52" s="24" t="n">
        <v>110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48" t="inlineStr">
        <is>
          <t>Retained AAP</t>
        </is>
      </c>
      <c r="E53" s="31" t="n">
        <v>170</v>
      </c>
      <c r="F53" s="31" t="n">
        <v>262</v>
      </c>
      <c r="G53" s="31" t="n">
        <v>179</v>
      </c>
      <c r="H53" s="31" t="n">
        <v>3</v>
      </c>
      <c r="I53" s="31" t="n">
        <v>627</v>
      </c>
      <c r="J53" s="33" t="inlineStr">
        <is>
          <t>AAP</t>
        </is>
      </c>
      <c r="K53" s="31" t="n">
        <v>171</v>
      </c>
      <c r="L53" s="31" t="n">
        <v>187</v>
      </c>
      <c r="M53" s="31" t="n">
        <v>48</v>
      </c>
      <c r="N53" s="31" t="n">
        <v>6</v>
      </c>
      <c r="O53" s="31" t="n">
        <v>550</v>
      </c>
      <c r="P53" s="33" t="inlineStr">
        <is>
          <t>AAP</t>
        </is>
      </c>
      <c r="Q53" s="34" t="n">
        <v>0.0398</v>
      </c>
      <c r="R53" s="34" t="n">
        <v>-0.0779</v>
      </c>
      <c r="S53" s="34" t="n">
        <v>-0.1982</v>
      </c>
      <c r="T53" s="34" t="n">
        <v>0.0061</v>
      </c>
      <c r="U53" s="31" t="n">
        <v>-77</v>
      </c>
      <c r="V53" s="31" t="n">
        <v>16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49" t="inlineStr">
        <is>
          <t>Flipped (SAD → AAP)</t>
        </is>
      </c>
      <c r="E54" s="24" t="n">
        <v>91</v>
      </c>
      <c r="F54" s="24" t="n">
        <v>76</v>
      </c>
      <c r="G54" s="24" t="n">
        <v>107</v>
      </c>
      <c r="H54" s="24" t="n">
        <v>2</v>
      </c>
      <c r="I54" s="24" t="n">
        <v>284</v>
      </c>
      <c r="J54" s="26" t="inlineStr">
        <is>
          <t>SAD</t>
        </is>
      </c>
      <c r="K54" s="24" t="n">
        <v>70</v>
      </c>
      <c r="L54" s="24" t="n">
        <v>84</v>
      </c>
      <c r="M54" s="24" t="n">
        <v>71</v>
      </c>
      <c r="N54" s="24" t="n">
        <v>10</v>
      </c>
      <c r="O54" s="24" t="n">
        <v>265</v>
      </c>
      <c r="P54" s="26" t="inlineStr">
        <is>
          <t>AAP</t>
        </is>
      </c>
      <c r="Q54" s="27" t="n">
        <v>-0.0562</v>
      </c>
      <c r="R54" s="27" t="n">
        <v>0.04940000000000001</v>
      </c>
      <c r="S54" s="27" t="n">
        <v>-0.1089</v>
      </c>
      <c r="T54" s="27" t="n">
        <v>0.0307</v>
      </c>
      <c r="U54" s="24" t="n">
        <v>-19</v>
      </c>
      <c r="V54" s="24" t="n">
        <v>13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49" t="inlineStr">
        <is>
          <t>Flipped (SAD → INC)</t>
        </is>
      </c>
      <c r="E55" s="31" t="n">
        <v>136</v>
      </c>
      <c r="F55" s="31" t="n">
        <v>91</v>
      </c>
      <c r="G55" s="31" t="n">
        <v>163</v>
      </c>
      <c r="H55" s="31" t="n">
        <v>3</v>
      </c>
      <c r="I55" s="31" t="n">
        <v>409</v>
      </c>
      <c r="J55" s="33" t="inlineStr">
        <is>
          <t>SAD</t>
        </is>
      </c>
      <c r="K55" s="31" t="n">
        <v>176</v>
      </c>
      <c r="L55" s="31" t="n">
        <v>67</v>
      </c>
      <c r="M55" s="31" t="n">
        <v>78</v>
      </c>
      <c r="N55" s="31" t="n">
        <v>11</v>
      </c>
      <c r="O55" s="31" t="n">
        <v>380</v>
      </c>
      <c r="P55" s="33" t="inlineStr">
        <is>
          <t>INC</t>
        </is>
      </c>
      <c r="Q55" s="34" t="n">
        <v>0.1307</v>
      </c>
      <c r="R55" s="34" t="n">
        <v>-0.0462</v>
      </c>
      <c r="S55" s="34" t="n">
        <v>-0.1932</v>
      </c>
      <c r="T55" s="34" t="n">
        <v>0.0216</v>
      </c>
      <c r="U55" s="31" t="n">
        <v>-29</v>
      </c>
      <c r="V55" s="31" t="n">
        <v>98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49" t="inlineStr">
        <is>
          <t>Flipped (AAP → INC)</t>
        </is>
      </c>
      <c r="E56" s="24" t="n">
        <v>241</v>
      </c>
      <c r="F56" s="24" t="n">
        <v>337</v>
      </c>
      <c r="G56" s="24" t="n">
        <v>246</v>
      </c>
      <c r="H56" s="24" t="n">
        <v>4</v>
      </c>
      <c r="I56" s="24" t="n">
        <v>853</v>
      </c>
      <c r="J56" s="26" t="inlineStr">
        <is>
          <t>AAP</t>
        </is>
      </c>
      <c r="K56" s="24" t="n">
        <v>241</v>
      </c>
      <c r="L56" s="24" t="n">
        <v>234</v>
      </c>
      <c r="M56" s="24" t="n">
        <v>80</v>
      </c>
      <c r="N56" s="24" t="n">
        <v>104</v>
      </c>
      <c r="O56" s="24" t="n">
        <v>721</v>
      </c>
      <c r="P56" s="26" t="inlineStr">
        <is>
          <t>INC</t>
        </is>
      </c>
      <c r="Q56" s="27" t="n">
        <v>0.0518</v>
      </c>
      <c r="R56" s="27" t="n">
        <v>-0.0706</v>
      </c>
      <c r="S56" s="27" t="n">
        <v>-0.1774</v>
      </c>
      <c r="T56" s="27" t="n">
        <v>0.1395</v>
      </c>
      <c r="U56" s="24" t="n">
        <v>-132</v>
      </c>
      <c r="V56" s="24" t="n">
        <v>7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49" t="inlineStr">
        <is>
          <t>Flipped (SAD → INC)</t>
        </is>
      </c>
      <c r="E57" s="31" t="n">
        <v>240</v>
      </c>
      <c r="F57" s="31" t="n">
        <v>167</v>
      </c>
      <c r="G57" s="31" t="n">
        <v>257</v>
      </c>
      <c r="H57" s="31" t="n">
        <v>7</v>
      </c>
      <c r="I57" s="31" t="n">
        <v>698</v>
      </c>
      <c r="J57" s="33" t="inlineStr">
        <is>
          <t>SAD</t>
        </is>
      </c>
      <c r="K57" s="31" t="n">
        <v>245</v>
      </c>
      <c r="L57" s="31" t="n">
        <v>156</v>
      </c>
      <c r="M57" s="31" t="n">
        <v>65</v>
      </c>
      <c r="N57" s="31" t="n">
        <v>59</v>
      </c>
      <c r="O57" s="31" t="n">
        <v>579</v>
      </c>
      <c r="P57" s="33" t="inlineStr">
        <is>
          <t>INC</t>
        </is>
      </c>
      <c r="Q57" s="34" t="n">
        <v>0.0793</v>
      </c>
      <c r="R57" s="34" t="n">
        <v>0.0301</v>
      </c>
      <c r="S57" s="34" t="n">
        <v>-0.2559</v>
      </c>
      <c r="T57" s="34" t="n">
        <v>0.0919</v>
      </c>
      <c r="U57" s="31" t="n">
        <v>-119</v>
      </c>
      <c r="V57" s="31" t="n">
        <v>89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48" t="inlineStr">
        <is>
          <t>Retained SAD</t>
        </is>
      </c>
      <c r="E58" s="24" t="n">
        <v>249</v>
      </c>
      <c r="F58" s="24" t="n">
        <v>164</v>
      </c>
      <c r="G58" s="24" t="n">
        <v>340</v>
      </c>
      <c r="H58" s="24" t="n">
        <v>7</v>
      </c>
      <c r="I58" s="24" t="n">
        <v>776</v>
      </c>
      <c r="J58" s="26" t="inlineStr">
        <is>
          <t>SAD</t>
        </is>
      </c>
      <c r="K58" s="24" t="n">
        <v>189</v>
      </c>
      <c r="L58" s="24" t="n">
        <v>80</v>
      </c>
      <c r="M58" s="24" t="n">
        <v>274</v>
      </c>
      <c r="N58" s="24" t="n">
        <v>46</v>
      </c>
      <c r="O58" s="24" t="n">
        <v>681</v>
      </c>
      <c r="P58" s="26" t="inlineStr">
        <is>
          <t>SAD</t>
        </is>
      </c>
      <c r="Q58" s="27" t="n">
        <v>-0.0434</v>
      </c>
      <c r="R58" s="27" t="n">
        <v>-0.09380000000000001</v>
      </c>
      <c r="S58" s="27" t="n">
        <v>-0.0358</v>
      </c>
      <c r="T58" s="27" t="n">
        <v>0.0585</v>
      </c>
      <c r="U58" s="24" t="n">
        <v>-95</v>
      </c>
      <c r="V58" s="24" t="n">
        <v>85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48" t="inlineStr">
        <is>
          <t>Retained SAD</t>
        </is>
      </c>
      <c r="E59" s="31" t="n">
        <v>171</v>
      </c>
      <c r="F59" s="31" t="n">
        <v>200</v>
      </c>
      <c r="G59" s="31" t="n">
        <v>294</v>
      </c>
      <c r="H59" s="31" t="n">
        <v>4</v>
      </c>
      <c r="I59" s="31" t="n">
        <v>688</v>
      </c>
      <c r="J59" s="33" t="inlineStr">
        <is>
          <t>SAD</t>
        </is>
      </c>
      <c r="K59" s="31" t="n">
        <v>150</v>
      </c>
      <c r="L59" s="31" t="n">
        <v>73</v>
      </c>
      <c r="M59" s="31" t="n">
        <v>228</v>
      </c>
      <c r="N59" s="31" t="n">
        <v>48</v>
      </c>
      <c r="O59" s="31" t="n">
        <v>550</v>
      </c>
      <c r="P59" s="33" t="inlineStr">
        <is>
          <t>SAD</t>
        </is>
      </c>
      <c r="Q59" s="34" t="n">
        <v>0.0242</v>
      </c>
      <c r="R59" s="34" t="n">
        <v>-0.158</v>
      </c>
      <c r="S59" s="34" t="n">
        <v>-0.0128</v>
      </c>
      <c r="T59" s="34" t="n">
        <v>0.0815</v>
      </c>
      <c r="U59" s="31" t="n">
        <v>-138</v>
      </c>
      <c r="V59" s="31" t="n">
        <v>78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49" t="inlineStr">
        <is>
          <t>Flipped (INC → SAD)</t>
        </is>
      </c>
      <c r="E60" s="24" t="n">
        <v>133</v>
      </c>
      <c r="F60" s="24" t="n">
        <v>66</v>
      </c>
      <c r="G60" s="24" t="n">
        <v>133</v>
      </c>
      <c r="H60" s="24" t="n">
        <v>3</v>
      </c>
      <c r="I60" s="24" t="n">
        <v>350</v>
      </c>
      <c r="J60" s="26" t="inlineStr">
        <is>
          <t>INC</t>
        </is>
      </c>
      <c r="K60" s="24" t="n">
        <v>96</v>
      </c>
      <c r="L60" s="24" t="n">
        <v>46</v>
      </c>
      <c r="M60" s="24" t="n">
        <v>117</v>
      </c>
      <c r="N60" s="24" t="n">
        <v>18</v>
      </c>
      <c r="O60" s="24" t="n">
        <v>304</v>
      </c>
      <c r="P60" s="26" t="inlineStr">
        <is>
          <t>SAD</t>
        </is>
      </c>
      <c r="Q60" s="27" t="n">
        <v>-0.06419999999999999</v>
      </c>
      <c r="R60" s="27" t="n">
        <v>-0.0373</v>
      </c>
      <c r="S60" s="27" t="n">
        <v>0.0049</v>
      </c>
      <c r="T60" s="27" t="n">
        <v>0.0506</v>
      </c>
      <c r="U60" s="24" t="n">
        <v>-46</v>
      </c>
      <c r="V60" s="24" t="n">
        <v>21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48" t="inlineStr">
        <is>
          <t>Retained SAD</t>
        </is>
      </c>
      <c r="E61" s="31" t="n">
        <v>156</v>
      </c>
      <c r="F61" s="31" t="n">
        <v>108</v>
      </c>
      <c r="G61" s="31" t="n">
        <v>382</v>
      </c>
      <c r="H61" s="31" t="n">
        <v>6</v>
      </c>
      <c r="I61" s="31" t="n">
        <v>679</v>
      </c>
      <c r="J61" s="33" t="inlineStr">
        <is>
          <t>SAD</t>
        </is>
      </c>
      <c r="K61" s="31" t="n">
        <v>129</v>
      </c>
      <c r="L61" s="31" t="n">
        <v>52</v>
      </c>
      <c r="M61" s="31" t="n">
        <v>271</v>
      </c>
      <c r="N61" s="31" t="n">
        <v>46</v>
      </c>
      <c r="O61" s="31" t="n">
        <v>526</v>
      </c>
      <c r="P61" s="33" t="inlineStr">
        <is>
          <t>SAD</t>
        </is>
      </c>
      <c r="Q61" s="34" t="n">
        <v>0.0155</v>
      </c>
      <c r="R61" s="34" t="n">
        <v>-0.0602</v>
      </c>
      <c r="S61" s="34" t="n">
        <v>-0.0474</v>
      </c>
      <c r="T61" s="34" t="n">
        <v>0.07870000000000001</v>
      </c>
      <c r="U61" s="31" t="n">
        <v>-153</v>
      </c>
      <c r="V61" s="31" t="n">
        <v>142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48" t="inlineStr">
        <is>
          <t>Retained SAD</t>
        </is>
      </c>
      <c r="E62" s="24" t="n">
        <v>132</v>
      </c>
      <c r="F62" s="24" t="n">
        <v>101</v>
      </c>
      <c r="G62" s="24" t="n">
        <v>387</v>
      </c>
      <c r="H62" s="24" t="n">
        <v>1</v>
      </c>
      <c r="I62" s="24" t="n">
        <v>642</v>
      </c>
      <c r="J62" s="26" t="inlineStr">
        <is>
          <t>SAD</t>
        </is>
      </c>
      <c r="K62" s="24" t="n">
        <v>146</v>
      </c>
      <c r="L62" s="24" t="n">
        <v>51</v>
      </c>
      <c r="M62" s="24" t="n">
        <v>235</v>
      </c>
      <c r="N62" s="24" t="n">
        <v>50</v>
      </c>
      <c r="O62" s="24" t="n">
        <v>531</v>
      </c>
      <c r="P62" s="26" t="inlineStr">
        <is>
          <t>SAD</t>
        </is>
      </c>
      <c r="Q62" s="27" t="n">
        <v>0.0694</v>
      </c>
      <c r="R62" s="27" t="n">
        <v>-0.0613</v>
      </c>
      <c r="S62" s="27" t="n">
        <v>-0.1602</v>
      </c>
      <c r="T62" s="27" t="n">
        <v>0.0926</v>
      </c>
      <c r="U62" s="24" t="n">
        <v>-111</v>
      </c>
      <c r="V62" s="24" t="n">
        <v>89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49" t="inlineStr">
        <is>
          <t>Flipped (SAD → INC)</t>
        </is>
      </c>
      <c r="E63" s="31" t="n">
        <v>115</v>
      </c>
      <c r="F63" s="31" t="n">
        <v>100</v>
      </c>
      <c r="G63" s="31" t="n">
        <v>146</v>
      </c>
      <c r="H63" s="31" t="n">
        <v>10</v>
      </c>
      <c r="I63" s="31" t="n">
        <v>405</v>
      </c>
      <c r="J63" s="33" t="inlineStr">
        <is>
          <t>SAD</t>
        </is>
      </c>
      <c r="K63" s="31" t="n">
        <v>123</v>
      </c>
      <c r="L63" s="31" t="n">
        <v>90</v>
      </c>
      <c r="M63" s="31" t="n">
        <v>111</v>
      </c>
      <c r="N63" s="31" t="n">
        <v>33</v>
      </c>
      <c r="O63" s="31" t="n">
        <v>394</v>
      </c>
      <c r="P63" s="33" t="inlineStr">
        <is>
          <t>INC</t>
        </is>
      </c>
      <c r="Q63" s="34" t="n">
        <v>0.0282</v>
      </c>
      <c r="R63" s="34" t="n">
        <v>-0.0185</v>
      </c>
      <c r="S63" s="34" t="n">
        <v>-0.0788</v>
      </c>
      <c r="T63" s="34" t="n">
        <v>0.0591</v>
      </c>
      <c r="U63" s="31" t="n">
        <v>-11</v>
      </c>
      <c r="V63" s="31" t="n">
        <v>12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49" t="inlineStr">
        <is>
          <t>Flipped (INC → BJP)</t>
        </is>
      </c>
      <c r="E64" s="24" t="n">
        <v>238</v>
      </c>
      <c r="F64" s="24" t="n">
        <v>168</v>
      </c>
      <c r="G64" s="24" t="n">
        <v>147</v>
      </c>
      <c r="H64" s="24" t="n">
        <v>1</v>
      </c>
      <c r="I64" s="24" t="n">
        <v>573</v>
      </c>
      <c r="J64" s="26" t="inlineStr">
        <is>
          <t>INC</t>
        </is>
      </c>
      <c r="K64" s="24" t="n">
        <v>70</v>
      </c>
      <c r="L64" s="24" t="n">
        <v>118</v>
      </c>
      <c r="M64" s="24" t="n">
        <v>43</v>
      </c>
      <c r="N64" s="24" t="n">
        <v>191</v>
      </c>
      <c r="O64" s="24" t="n">
        <v>483</v>
      </c>
      <c r="P64" s="26" t="inlineStr">
        <is>
          <t>BJP</t>
        </is>
      </c>
      <c r="Q64" s="27" t="n">
        <v>-0.2705</v>
      </c>
      <c r="R64" s="27" t="n">
        <v>-0.0489</v>
      </c>
      <c r="S64" s="27" t="n">
        <v>-0.1675</v>
      </c>
      <c r="T64" s="27" t="n">
        <v>0.3937</v>
      </c>
      <c r="U64" s="24" t="n">
        <v>-90</v>
      </c>
      <c r="V64" s="24" t="n">
        <v>73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49" t="inlineStr">
        <is>
          <t>Flipped (SAD → AAP)</t>
        </is>
      </c>
      <c r="E65" s="31" t="n">
        <v>206</v>
      </c>
      <c r="F65" s="31" t="n">
        <v>203</v>
      </c>
      <c r="G65" s="31" t="n">
        <v>241</v>
      </c>
      <c r="H65" s="31" t="n">
        <v>10</v>
      </c>
      <c r="I65" s="31" t="n">
        <v>696</v>
      </c>
      <c r="J65" s="33" t="inlineStr">
        <is>
          <t>SAD</t>
        </is>
      </c>
      <c r="K65" s="31" t="n">
        <v>177</v>
      </c>
      <c r="L65" s="31" t="n">
        <v>191</v>
      </c>
      <c r="M65" s="31" t="n">
        <v>146</v>
      </c>
      <c r="N65" s="31" t="n">
        <v>27</v>
      </c>
      <c r="O65" s="31" t="n">
        <v>606</v>
      </c>
      <c r="P65" s="33" t="inlineStr">
        <is>
          <t>AAP</t>
        </is>
      </c>
      <c r="Q65" s="34" t="n">
        <v>-0.0039</v>
      </c>
      <c r="R65" s="34" t="n">
        <v>0.0235</v>
      </c>
      <c r="S65" s="34" t="n">
        <v>-0.1054</v>
      </c>
      <c r="T65" s="34" t="n">
        <v>0.0302</v>
      </c>
      <c r="U65" s="31" t="n">
        <v>-90</v>
      </c>
      <c r="V65" s="31" t="n">
        <v>14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49" t="inlineStr">
        <is>
          <t>Flipped (INC → AAP)</t>
        </is>
      </c>
      <c r="E66" s="24" t="n">
        <v>205</v>
      </c>
      <c r="F66" s="24" t="n">
        <v>116</v>
      </c>
      <c r="G66" s="24" t="n">
        <v>171</v>
      </c>
      <c r="H66" s="24" t="n">
        <v>2</v>
      </c>
      <c r="I66" s="24" t="n">
        <v>508</v>
      </c>
      <c r="J66" s="26" t="inlineStr">
        <is>
          <t>INC</t>
        </is>
      </c>
      <c r="K66" s="24" t="n">
        <v>173</v>
      </c>
      <c r="L66" s="24" t="n">
        <v>188</v>
      </c>
      <c r="M66" s="24" t="n">
        <v>34</v>
      </c>
      <c r="N66" s="24" t="n">
        <v>5</v>
      </c>
      <c r="O66" s="24" t="n">
        <v>450</v>
      </c>
      <c r="P66" s="26" t="inlineStr">
        <is>
          <t>AAP</t>
        </is>
      </c>
      <c r="Q66" s="27" t="n">
        <v>-0.0191</v>
      </c>
      <c r="R66" s="27" t="n">
        <v>0.1895</v>
      </c>
      <c r="S66" s="27" t="n">
        <v>-0.261</v>
      </c>
      <c r="T66" s="27" t="n">
        <v>0.0072</v>
      </c>
      <c r="U66" s="24" t="n">
        <v>-58</v>
      </c>
      <c r="V66" s="24" t="n">
        <v>15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49" t="inlineStr">
        <is>
          <t>Flipped (SAD → INC)</t>
        </is>
      </c>
      <c r="E67" s="31" t="n">
        <v>148</v>
      </c>
      <c r="F67" s="31" t="n">
        <v>149</v>
      </c>
      <c r="G67" s="31" t="n">
        <v>281</v>
      </c>
      <c r="H67" s="31" t="n">
        <v>6</v>
      </c>
      <c r="I67" s="31" t="n">
        <v>601</v>
      </c>
      <c r="J67" s="33" t="inlineStr">
        <is>
          <t>SAD</t>
        </is>
      </c>
      <c r="K67" s="31" t="n">
        <v>205</v>
      </c>
      <c r="L67" s="31" t="n">
        <v>158</v>
      </c>
      <c r="M67" s="31" t="n">
        <v>141</v>
      </c>
      <c r="N67" s="31" t="n">
        <v>20</v>
      </c>
      <c r="O67" s="31" t="n">
        <v>551</v>
      </c>
      <c r="P67" s="33" t="inlineStr">
        <is>
          <t>INC</t>
        </is>
      </c>
      <c r="Q67" s="34" t="n">
        <v>0.1258</v>
      </c>
      <c r="R67" s="34" t="n">
        <v>0.0389</v>
      </c>
      <c r="S67" s="34" t="n">
        <v>-0.2117</v>
      </c>
      <c r="T67" s="34" t="n">
        <v>0.0263</v>
      </c>
      <c r="U67" s="31" t="n">
        <v>-50</v>
      </c>
      <c r="V67" s="31" t="n">
        <v>47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49" t="inlineStr">
        <is>
          <t>Flipped (SAD → INC)</t>
        </is>
      </c>
      <c r="E68" s="24" t="n">
        <v>221</v>
      </c>
      <c r="F68" s="24" t="n">
        <v>81</v>
      </c>
      <c r="G68" s="24" t="n">
        <v>361</v>
      </c>
      <c r="H68" s="24" t="n">
        <v>5</v>
      </c>
      <c r="I68" s="24" t="n">
        <v>676</v>
      </c>
      <c r="J68" s="26" t="inlineStr">
        <is>
          <t>SAD</t>
        </is>
      </c>
      <c r="K68" s="24" t="n">
        <v>196</v>
      </c>
      <c r="L68" s="24" t="n">
        <v>73</v>
      </c>
      <c r="M68" s="24" t="n">
        <v>81</v>
      </c>
      <c r="N68" s="24" t="n">
        <v>52</v>
      </c>
      <c r="O68" s="24" t="n">
        <v>495</v>
      </c>
      <c r="P68" s="26" t="inlineStr">
        <is>
          <t>INC</t>
        </is>
      </c>
      <c r="Q68" s="27" t="n">
        <v>0.06909999999999999</v>
      </c>
      <c r="R68" s="27" t="n">
        <v>0.0277</v>
      </c>
      <c r="S68" s="27" t="n">
        <v>-0.3704</v>
      </c>
      <c r="T68" s="27" t="n">
        <v>0.0977</v>
      </c>
      <c r="U68" s="24" t="n">
        <v>-181</v>
      </c>
      <c r="V68" s="24" t="n">
        <v>115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49" t="inlineStr">
        <is>
          <t>Flipped (INC → AAP)</t>
        </is>
      </c>
      <c r="E69" s="31" t="n">
        <v>176</v>
      </c>
      <c r="F69" s="31" t="n">
        <v>103</v>
      </c>
      <c r="G69" s="31" t="n">
        <v>174</v>
      </c>
      <c r="H69" s="31" t="n">
        <v>8</v>
      </c>
      <c r="I69" s="31" t="n">
        <v>492</v>
      </c>
      <c r="J69" s="33" t="inlineStr">
        <is>
          <t>INC</t>
        </is>
      </c>
      <c r="K69" s="31" t="n">
        <v>50</v>
      </c>
      <c r="L69" s="31" t="n">
        <v>206</v>
      </c>
      <c r="M69" s="31" t="n">
        <v>47</v>
      </c>
      <c r="N69" s="31" t="n">
        <v>39</v>
      </c>
      <c r="O69" s="31" t="n">
        <v>407</v>
      </c>
      <c r="P69" s="33" t="inlineStr">
        <is>
          <t>AAP</t>
        </is>
      </c>
      <c r="Q69" s="34" t="n">
        <v>-0.2348</v>
      </c>
      <c r="R69" s="34" t="n">
        <v>0.2968</v>
      </c>
      <c r="S69" s="34" t="n">
        <v>-0.2382</v>
      </c>
      <c r="T69" s="34" t="n">
        <v>0.0795</v>
      </c>
      <c r="U69" s="31" t="n">
        <v>-85</v>
      </c>
      <c r="V69" s="31" t="n">
        <v>156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49" t="inlineStr">
        <is>
          <t>Flipped (SAD → BJP)</t>
        </is>
      </c>
      <c r="E70" s="24" t="n">
        <v>176</v>
      </c>
      <c r="F70" s="24" t="n">
        <v>56</v>
      </c>
      <c r="G70" s="24" t="n">
        <v>180</v>
      </c>
      <c r="H70" s="24" t="n">
        <v>10</v>
      </c>
      <c r="I70" s="24" t="n">
        <v>426</v>
      </c>
      <c r="J70" s="26" t="inlineStr">
        <is>
          <t>SAD</t>
        </is>
      </c>
      <c r="K70" s="24" t="n">
        <v>93</v>
      </c>
      <c r="L70" s="24" t="n">
        <v>98</v>
      </c>
      <c r="M70" s="24" t="n">
        <v>63</v>
      </c>
      <c r="N70" s="24" t="n">
        <v>104</v>
      </c>
      <c r="O70" s="24" t="n">
        <v>376</v>
      </c>
      <c r="P70" s="26" t="inlineStr">
        <is>
          <t>BJP</t>
        </is>
      </c>
      <c r="Q70" s="27" t="n">
        <v>-0.1658</v>
      </c>
      <c r="R70" s="27" t="n">
        <v>0.1291</v>
      </c>
      <c r="S70" s="27" t="n">
        <v>-0.2549</v>
      </c>
      <c r="T70" s="27" t="n">
        <v>0.2531</v>
      </c>
      <c r="U70" s="24" t="n">
        <v>-50</v>
      </c>
      <c r="V70" s="24" t="n">
        <v>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48" t="inlineStr">
        <is>
          <t>Retained INC</t>
        </is>
      </c>
      <c r="E71" s="31" t="n">
        <v>264</v>
      </c>
      <c r="F71" s="31" t="n">
        <v>67</v>
      </c>
      <c r="G71" s="31" t="n">
        <v>169</v>
      </c>
      <c r="H71" s="31" t="n">
        <v>8</v>
      </c>
      <c r="I71" s="31" t="n">
        <v>521</v>
      </c>
      <c r="J71" s="33" t="inlineStr">
        <is>
          <t>INC</t>
        </is>
      </c>
      <c r="K71" s="31" t="n">
        <v>279</v>
      </c>
      <c r="L71" s="31" t="n">
        <v>125</v>
      </c>
      <c r="M71" s="31" t="n">
        <v>77</v>
      </c>
      <c r="N71" s="31" t="n">
        <v>21</v>
      </c>
      <c r="O71" s="31" t="n">
        <v>523</v>
      </c>
      <c r="P71" s="33" t="inlineStr">
        <is>
          <t>INC</t>
        </is>
      </c>
      <c r="Q71" s="34" t="n">
        <v>0.0268</v>
      </c>
      <c r="R71" s="34" t="n">
        <v>0.1104</v>
      </c>
      <c r="S71" s="34" t="n">
        <v>-0.1772</v>
      </c>
      <c r="T71" s="34" t="n">
        <v>0.0248</v>
      </c>
      <c r="U71" s="31" t="n">
        <v>2</v>
      </c>
      <c r="V71" s="31" t="n">
        <v>154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49" t="inlineStr">
        <is>
          <t>Flipped (AAP → BJP)</t>
        </is>
      </c>
      <c r="E72" s="24" t="n">
        <v>143</v>
      </c>
      <c r="F72" s="24" t="n">
        <v>173</v>
      </c>
      <c r="G72" s="24" t="n">
        <v>119</v>
      </c>
      <c r="H72" s="24" t="n">
        <v>3</v>
      </c>
      <c r="I72" s="24" t="n">
        <v>449</v>
      </c>
      <c r="J72" s="26" t="inlineStr">
        <is>
          <t>AAP</t>
        </is>
      </c>
      <c r="K72" s="24" t="n">
        <v>67</v>
      </c>
      <c r="L72" s="24" t="n">
        <v>122</v>
      </c>
      <c r="M72" s="24" t="n">
        <v>98</v>
      </c>
      <c r="N72" s="24" t="n">
        <v>131</v>
      </c>
      <c r="O72" s="24" t="n">
        <v>457</v>
      </c>
      <c r="P72" s="26" t="inlineStr">
        <is>
          <t>BJP</t>
        </is>
      </c>
      <c r="Q72" s="27" t="n">
        <v>-0.1719</v>
      </c>
      <c r="R72" s="27" t="n">
        <v>-0.1183</v>
      </c>
      <c r="S72" s="27" t="n">
        <v>-0.0506</v>
      </c>
      <c r="T72" s="27" t="n">
        <v>0.28</v>
      </c>
      <c r="U72" s="24" t="n">
        <v>8</v>
      </c>
      <c r="V72" s="24" t="n">
        <v>9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49" t="inlineStr">
        <is>
          <t>Flipped (SAD → INC)</t>
        </is>
      </c>
      <c r="E73" s="31" t="n">
        <v>169</v>
      </c>
      <c r="F73" s="31" t="n">
        <v>201</v>
      </c>
      <c r="G73" s="31" t="n">
        <v>252</v>
      </c>
      <c r="H73" s="31" t="n">
        <v>0</v>
      </c>
      <c r="I73" s="31" t="n">
        <v>653</v>
      </c>
      <c r="J73" s="33" t="inlineStr">
        <is>
          <t>SAD</t>
        </is>
      </c>
      <c r="K73" s="31" t="n">
        <v>206</v>
      </c>
      <c r="L73" s="31" t="n">
        <v>149</v>
      </c>
      <c r="M73" s="31" t="n">
        <v>118</v>
      </c>
      <c r="N73" s="31" t="n">
        <v>45</v>
      </c>
      <c r="O73" s="31" t="n">
        <v>598</v>
      </c>
      <c r="P73" s="33" t="inlineStr">
        <is>
          <t>INC</t>
        </is>
      </c>
      <c r="Q73" s="34" t="n">
        <v>0.0857</v>
      </c>
      <c r="R73" s="34" t="n">
        <v>-0.05860000000000001</v>
      </c>
      <c r="S73" s="34" t="n">
        <v>-0.1886</v>
      </c>
      <c r="T73" s="34" t="n">
        <v>0.07530000000000001</v>
      </c>
      <c r="U73" s="31" t="n">
        <v>-55</v>
      </c>
      <c r="V73" s="31" t="n">
        <v>57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48" t="inlineStr">
        <is>
          <t>Retained INC</t>
        </is>
      </c>
      <c r="E74" s="24" t="n">
        <v>295</v>
      </c>
      <c r="F74" s="24" t="n">
        <v>174</v>
      </c>
      <c r="G74" s="24" t="n">
        <v>269</v>
      </c>
      <c r="H74" s="24" t="n">
        <v>2</v>
      </c>
      <c r="I74" s="24" t="n">
        <v>758</v>
      </c>
      <c r="J74" s="26" t="inlineStr">
        <is>
          <t>INC</t>
        </is>
      </c>
      <c r="K74" s="24" t="n">
        <v>304</v>
      </c>
      <c r="L74" s="24" t="n">
        <v>74</v>
      </c>
      <c r="M74" s="24" t="n">
        <v>198</v>
      </c>
      <c r="N74" s="24" t="n">
        <v>28</v>
      </c>
      <c r="O74" s="24" t="n">
        <v>659</v>
      </c>
      <c r="P74" s="26" t="inlineStr">
        <is>
          <t>INC</t>
        </is>
      </c>
      <c r="Q74" s="27" t="n">
        <v>0.0721</v>
      </c>
      <c r="R74" s="27" t="n">
        <v>-0.1173</v>
      </c>
      <c r="S74" s="27" t="n">
        <v>-0.0544</v>
      </c>
      <c r="T74" s="27" t="n">
        <v>0.0399</v>
      </c>
      <c r="U74" s="24" t="n">
        <v>-99</v>
      </c>
      <c r="V74" s="24" t="n">
        <v>106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49" t="inlineStr">
        <is>
          <t>Flipped (INC → SAD)</t>
        </is>
      </c>
      <c r="E75" s="31" t="n">
        <v>188</v>
      </c>
      <c r="F75" s="31" t="n">
        <v>79</v>
      </c>
      <c r="G75" s="31" t="n">
        <v>146</v>
      </c>
      <c r="H75" s="31" t="n">
        <v>3</v>
      </c>
      <c r="I75" s="31" t="n">
        <v>429</v>
      </c>
      <c r="J75" s="33" t="inlineStr">
        <is>
          <t>INC</t>
        </is>
      </c>
      <c r="K75" s="31" t="n">
        <v>141</v>
      </c>
      <c r="L75" s="31" t="n">
        <v>102</v>
      </c>
      <c r="M75" s="31" t="n">
        <v>143</v>
      </c>
      <c r="N75" s="31" t="n">
        <v>3</v>
      </c>
      <c r="O75" s="31" t="n">
        <v>404</v>
      </c>
      <c r="P75" s="33" t="inlineStr">
        <is>
          <t>SAD</t>
        </is>
      </c>
      <c r="Q75" s="34" t="n">
        <v>-0.0892</v>
      </c>
      <c r="R75" s="34" t="n">
        <v>0.0684</v>
      </c>
      <c r="S75" s="34" t="n">
        <v>0.0137</v>
      </c>
      <c r="T75" s="34" t="n">
        <v>0.0004</v>
      </c>
      <c r="U75" s="31" t="n">
        <v>-25</v>
      </c>
      <c r="V75" s="31" t="n">
        <v>2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49" t="inlineStr">
        <is>
          <t>Flipped (SAD → AAP)</t>
        </is>
      </c>
      <c r="E76" s="24" t="n">
        <v>116</v>
      </c>
      <c r="F76" s="24" t="n">
        <v>79</v>
      </c>
      <c r="G76" s="24" t="n">
        <v>189</v>
      </c>
      <c r="H76" s="24" t="n">
        <v>9</v>
      </c>
      <c r="I76" s="24" t="n">
        <v>430</v>
      </c>
      <c r="J76" s="26" t="inlineStr">
        <is>
          <t>SAD</t>
        </is>
      </c>
      <c r="K76" s="24" t="n">
        <v>106</v>
      </c>
      <c r="L76" s="24" t="n">
        <v>161</v>
      </c>
      <c r="M76" s="24" t="n">
        <v>97</v>
      </c>
      <c r="N76" s="24" t="n">
        <v>29</v>
      </c>
      <c r="O76" s="24" t="n">
        <v>431</v>
      </c>
      <c r="P76" s="26" t="inlineStr">
        <is>
          <t>AAP</t>
        </is>
      </c>
      <c r="Q76" s="27" t="n">
        <v>-0.0239</v>
      </c>
      <c r="R76" s="27" t="n">
        <v>0.1898</v>
      </c>
      <c r="S76" s="27" t="n">
        <v>-0.2144</v>
      </c>
      <c r="T76" s="27" t="n">
        <v>0.0464</v>
      </c>
      <c r="U76" s="24" t="n">
        <v>1</v>
      </c>
      <c r="V76" s="24" t="n">
        <v>55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48" t="inlineStr">
        <is>
          <t>Retained INC</t>
        </is>
      </c>
      <c r="E77" s="31" t="n">
        <v>271</v>
      </c>
      <c r="F77" s="31" t="n">
        <v>197</v>
      </c>
      <c r="G77" s="31" t="n">
        <v>185</v>
      </c>
      <c r="H77" s="31" t="n">
        <v>9</v>
      </c>
      <c r="I77" s="31" t="n">
        <v>681</v>
      </c>
      <c r="J77" s="33" t="inlineStr">
        <is>
          <t>INC</t>
        </is>
      </c>
      <c r="K77" s="31" t="n">
        <v>232</v>
      </c>
      <c r="L77" s="31" t="n">
        <v>146</v>
      </c>
      <c r="M77" s="31" t="n">
        <v>84</v>
      </c>
      <c r="N77" s="31" t="n">
        <v>21</v>
      </c>
      <c r="O77" s="31" t="n">
        <v>543</v>
      </c>
      <c r="P77" s="33" t="inlineStr">
        <is>
          <t>INC</t>
        </is>
      </c>
      <c r="Q77" s="34" t="n">
        <v>0.0294</v>
      </c>
      <c r="R77" s="34" t="n">
        <v>-0.0204</v>
      </c>
      <c r="S77" s="34" t="n">
        <v>-0.117</v>
      </c>
      <c r="T77" s="34" t="n">
        <v>0.0255</v>
      </c>
      <c r="U77" s="31" t="n">
        <v>-138</v>
      </c>
      <c r="V77" s="31" t="n">
        <v>86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48" t="inlineStr">
        <is>
          <t>Retained INC</t>
        </is>
      </c>
      <c r="E78" s="24" t="n">
        <v>357</v>
      </c>
      <c r="F78" s="24" t="n">
        <v>140</v>
      </c>
      <c r="G78" s="24" t="n">
        <v>154</v>
      </c>
      <c r="H78" s="24" t="n">
        <v>3</v>
      </c>
      <c r="I78" s="24" t="n">
        <v>676</v>
      </c>
      <c r="J78" s="26" t="inlineStr">
        <is>
          <t>INC</t>
        </is>
      </c>
      <c r="K78" s="24" t="n">
        <v>264</v>
      </c>
      <c r="L78" s="24" t="n">
        <v>134</v>
      </c>
      <c r="M78" s="24" t="n">
        <v>35</v>
      </c>
      <c r="N78" s="24" t="n">
        <v>26</v>
      </c>
      <c r="O78" s="24" t="n">
        <v>504</v>
      </c>
      <c r="P78" s="26" t="inlineStr">
        <is>
          <t>INC</t>
        </is>
      </c>
      <c r="Q78" s="27" t="n">
        <v>-0.0043</v>
      </c>
      <c r="R78" s="27" t="n">
        <v>0.0588</v>
      </c>
      <c r="S78" s="27" t="n">
        <v>-0.1584</v>
      </c>
      <c r="T78" s="27" t="n">
        <v>0.0472</v>
      </c>
      <c r="U78" s="24" t="n">
        <v>-172</v>
      </c>
      <c r="V78" s="24" t="n">
        <v>130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48" t="inlineStr">
        <is>
          <t>Retained AAP</t>
        </is>
      </c>
      <c r="E79" s="31" t="n">
        <v>171</v>
      </c>
      <c r="F79" s="31" t="n">
        <v>322</v>
      </c>
      <c r="G79" s="31" t="n">
        <v>143</v>
      </c>
      <c r="H79" s="31" t="n">
        <v>3</v>
      </c>
      <c r="I79" s="31" t="n">
        <v>660</v>
      </c>
      <c r="J79" s="33" t="inlineStr">
        <is>
          <t>AAP</t>
        </is>
      </c>
      <c r="K79" s="31" t="n">
        <v>187</v>
      </c>
      <c r="L79" s="31" t="n">
        <v>313</v>
      </c>
      <c r="M79" s="31" t="n">
        <v>47</v>
      </c>
      <c r="N79" s="31" t="n">
        <v>23</v>
      </c>
      <c r="O79" s="31" t="n">
        <v>594</v>
      </c>
      <c r="P79" s="33" t="inlineStr">
        <is>
          <t>AAP</t>
        </is>
      </c>
      <c r="Q79" s="34" t="n">
        <v>0.0557</v>
      </c>
      <c r="R79" s="34" t="n">
        <v>0.039</v>
      </c>
      <c r="S79" s="34" t="n">
        <v>-0.1376</v>
      </c>
      <c r="T79" s="34" t="n">
        <v>0.0342</v>
      </c>
      <c r="U79" s="31" t="n">
        <v>-66</v>
      </c>
      <c r="V79" s="31" t="n">
        <v>126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48" t="inlineStr">
        <is>
          <t>Retained INC</t>
        </is>
      </c>
      <c r="E80" s="24" t="n">
        <v>307</v>
      </c>
      <c r="F80" s="24" t="n">
        <v>286</v>
      </c>
      <c r="G80" s="24" t="n">
        <v>236</v>
      </c>
      <c r="H80" s="24" t="n">
        <v>9</v>
      </c>
      <c r="I80" s="24" t="n">
        <v>872</v>
      </c>
      <c r="J80" s="26" t="inlineStr">
        <is>
          <t>INC</t>
        </is>
      </c>
      <c r="K80" s="24" t="n">
        <v>219</v>
      </c>
      <c r="L80" s="24" t="n">
        <v>200</v>
      </c>
      <c r="M80" s="24" t="n">
        <v>99</v>
      </c>
      <c r="N80" s="24" t="n">
        <v>152</v>
      </c>
      <c r="O80" s="24" t="n">
        <v>727</v>
      </c>
      <c r="P80" s="26" t="inlineStr">
        <is>
          <t>INC</t>
        </is>
      </c>
      <c r="Q80" s="27" t="n">
        <v>-0.0509</v>
      </c>
      <c r="R80" s="27" t="n">
        <v>-0.0529</v>
      </c>
      <c r="S80" s="27" t="n">
        <v>-0.1344</v>
      </c>
      <c r="T80" s="27" t="n">
        <v>0.1988</v>
      </c>
      <c r="U80" s="24" t="n">
        <v>-145</v>
      </c>
      <c r="V80" s="24" t="n">
        <v>19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49" t="inlineStr">
        <is>
          <t>Flipped (INC → AAP)</t>
        </is>
      </c>
      <c r="E81" s="31" t="n">
        <v>389</v>
      </c>
      <c r="F81" s="31" t="n">
        <v>286</v>
      </c>
      <c r="G81" s="31" t="n">
        <v>146</v>
      </c>
      <c r="H81" s="31" t="n">
        <v>3</v>
      </c>
      <c r="I81" s="31" t="n">
        <v>848</v>
      </c>
      <c r="J81" s="33" t="inlineStr">
        <is>
          <t>INC</t>
        </is>
      </c>
      <c r="K81" s="31" t="n">
        <v>195</v>
      </c>
      <c r="L81" s="31" t="n">
        <v>250</v>
      </c>
      <c r="M81" s="31" t="n">
        <v>77</v>
      </c>
      <c r="N81" s="31" t="n">
        <v>104</v>
      </c>
      <c r="O81" s="31" t="n">
        <v>703</v>
      </c>
      <c r="P81" s="33" t="inlineStr">
        <is>
          <t>AAP</t>
        </is>
      </c>
      <c r="Q81" s="34" t="n">
        <v>-0.1813</v>
      </c>
      <c r="R81" s="34" t="n">
        <v>0.0183</v>
      </c>
      <c r="S81" s="34" t="n">
        <v>-0.06269999999999999</v>
      </c>
      <c r="T81" s="34" t="n">
        <v>0.1444</v>
      </c>
      <c r="U81" s="31" t="n">
        <v>-145</v>
      </c>
      <c r="V81" s="31" t="n">
        <v>55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48" t="inlineStr">
        <is>
          <t>Retained INC</t>
        </is>
      </c>
      <c r="E82" s="24" t="n">
        <v>438</v>
      </c>
      <c r="F82" s="24" t="n">
        <v>108</v>
      </c>
      <c r="G82" s="24" t="n">
        <v>194</v>
      </c>
      <c r="H82" s="24" t="n">
        <v>8</v>
      </c>
      <c r="I82" s="24" t="n">
        <v>772</v>
      </c>
      <c r="J82" s="26" t="inlineStr">
        <is>
          <t>INC</t>
        </is>
      </c>
      <c r="K82" s="24" t="n">
        <v>358</v>
      </c>
      <c r="L82" s="24" t="n">
        <v>141</v>
      </c>
      <c r="M82" s="24" t="n">
        <v>139</v>
      </c>
      <c r="N82" s="24" t="n">
        <v>35</v>
      </c>
      <c r="O82" s="24" t="n">
        <v>710</v>
      </c>
      <c r="P82" s="26" t="inlineStr">
        <is>
          <t>INC</t>
        </is>
      </c>
      <c r="Q82" s="27" t="n">
        <v>-0.06320000000000001</v>
      </c>
      <c r="R82" s="27" t="n">
        <v>0.0587</v>
      </c>
      <c r="S82" s="27" t="n">
        <v>-0.0555</v>
      </c>
      <c r="T82" s="27" t="n">
        <v>0.0389</v>
      </c>
      <c r="U82" s="24" t="n">
        <v>-62</v>
      </c>
      <c r="V82" s="24" t="n">
        <v>217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48" t="inlineStr">
        <is>
          <t>Retained AAP</t>
        </is>
      </c>
      <c r="E83" s="31" t="n">
        <v>105</v>
      </c>
      <c r="F83" s="31" t="n">
        <v>154</v>
      </c>
      <c r="G83" s="31" t="n">
        <v>128</v>
      </c>
      <c r="H83" s="31" t="n">
        <v>2</v>
      </c>
      <c r="I83" s="31" t="n">
        <v>400</v>
      </c>
      <c r="J83" s="33" t="inlineStr">
        <is>
          <t>AAP</t>
        </is>
      </c>
      <c r="K83" s="31" t="n">
        <v>58</v>
      </c>
      <c r="L83" s="31" t="n">
        <v>149</v>
      </c>
      <c r="M83" s="31" t="n">
        <v>89</v>
      </c>
      <c r="N83" s="31" t="n">
        <v>4</v>
      </c>
      <c r="O83" s="31" t="n">
        <v>374</v>
      </c>
      <c r="P83" s="33" t="inlineStr">
        <is>
          <t>AAP</t>
        </is>
      </c>
      <c r="Q83" s="34" t="n">
        <v>-0.1074</v>
      </c>
      <c r="R83" s="34" t="n">
        <v>0.0134</v>
      </c>
      <c r="S83" s="34" t="n">
        <v>-0.08199999999999999</v>
      </c>
      <c r="T83" s="34" t="n">
        <v>0.005699999999999999</v>
      </c>
      <c r="U83" s="31" t="n">
        <v>-26</v>
      </c>
      <c r="V83" s="31" t="n">
        <v>60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48" t="inlineStr">
        <is>
          <t>Retained INC</t>
        </is>
      </c>
      <c r="E84" s="24" t="n">
        <v>317</v>
      </c>
      <c r="F84" s="24" t="n">
        <v>186</v>
      </c>
      <c r="G84" s="24" t="n">
        <v>153</v>
      </c>
      <c r="H84" s="24" t="n">
        <v>21</v>
      </c>
      <c r="I84" s="24" t="n">
        <v>691</v>
      </c>
      <c r="J84" s="26" t="inlineStr">
        <is>
          <t>INC</t>
        </is>
      </c>
      <c r="K84" s="24" t="n">
        <v>197</v>
      </c>
      <c r="L84" s="24" t="n">
        <v>193</v>
      </c>
      <c r="M84" s="24" t="n">
        <v>58</v>
      </c>
      <c r="N84" s="24" t="n">
        <v>80</v>
      </c>
      <c r="O84" s="24" t="n">
        <v>586</v>
      </c>
      <c r="P84" s="26" t="inlineStr">
        <is>
          <t>INC</t>
        </is>
      </c>
      <c r="Q84" s="27" t="n">
        <v>-0.1226</v>
      </c>
      <c r="R84" s="27" t="n">
        <v>0.0602</v>
      </c>
      <c r="S84" s="27" t="n">
        <v>-0.1224</v>
      </c>
      <c r="T84" s="27" t="n">
        <v>0.1061</v>
      </c>
      <c r="U84" s="24" t="n">
        <v>-105</v>
      </c>
      <c r="V84" s="24" t="n">
        <v>4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49" t="inlineStr">
        <is>
          <t>Flipped (AAP → INC)</t>
        </is>
      </c>
      <c r="E85" s="31" t="n">
        <v>166</v>
      </c>
      <c r="F85" s="31" t="n">
        <v>192</v>
      </c>
      <c r="G85" s="31" t="n">
        <v>78</v>
      </c>
      <c r="H85" s="31" t="n">
        <v>1</v>
      </c>
      <c r="I85" s="31" t="n">
        <v>465</v>
      </c>
      <c r="J85" s="33" t="inlineStr">
        <is>
          <t>AAP</t>
        </is>
      </c>
      <c r="K85" s="31" t="n">
        <v>141</v>
      </c>
      <c r="L85" s="31" t="n">
        <v>125</v>
      </c>
      <c r="M85" s="31" t="n">
        <v>21</v>
      </c>
      <c r="N85" s="31" t="n">
        <v>33</v>
      </c>
      <c r="O85" s="31" t="n">
        <v>385</v>
      </c>
      <c r="P85" s="33" t="inlineStr">
        <is>
          <t>INC</t>
        </is>
      </c>
      <c r="Q85" s="34" t="n">
        <v>0.0092</v>
      </c>
      <c r="R85" s="34" t="n">
        <v>-0.0882</v>
      </c>
      <c r="S85" s="34" t="n">
        <v>-0.1132</v>
      </c>
      <c r="T85" s="34" t="n">
        <v>0.08349999999999999</v>
      </c>
      <c r="U85" s="31" t="n">
        <v>-80</v>
      </c>
      <c r="V85" s="31" t="n">
        <v>16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49" t="inlineStr">
        <is>
          <t>Flipped (AAP → INC)</t>
        </is>
      </c>
      <c r="E86" s="24" t="n">
        <v>132</v>
      </c>
      <c r="F86" s="24" t="n">
        <v>182</v>
      </c>
      <c r="G86" s="24" t="n">
        <v>174</v>
      </c>
      <c r="H86" s="24" t="n">
        <v>13</v>
      </c>
      <c r="I86" s="24" t="n">
        <v>512</v>
      </c>
      <c r="J86" s="26" t="inlineStr">
        <is>
          <t>AAP</t>
        </is>
      </c>
      <c r="K86" s="24" t="n">
        <v>148</v>
      </c>
      <c r="L86" s="24" t="n">
        <v>111</v>
      </c>
      <c r="M86" s="24" t="n">
        <v>79</v>
      </c>
      <c r="N86" s="24" t="n">
        <v>78</v>
      </c>
      <c r="O86" s="24" t="n">
        <v>441</v>
      </c>
      <c r="P86" s="26" t="inlineStr">
        <is>
          <t>INC</t>
        </is>
      </c>
      <c r="Q86" s="27" t="n">
        <v>0.07780000000000001</v>
      </c>
      <c r="R86" s="27" t="n">
        <v>-0.1038</v>
      </c>
      <c r="S86" s="27" t="n">
        <v>-0.1607</v>
      </c>
      <c r="T86" s="27" t="n">
        <v>0.1515</v>
      </c>
      <c r="U86" s="24" t="n">
        <v>-71</v>
      </c>
      <c r="V86" s="24" t="n">
        <v>37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49" t="inlineStr">
        <is>
          <t>Flipped (AAP → INC)</t>
        </is>
      </c>
      <c r="E87" s="31" t="n">
        <v>106</v>
      </c>
      <c r="F87" s="31" t="n">
        <v>183</v>
      </c>
      <c r="G87" s="31" t="n">
        <v>91</v>
      </c>
      <c r="H87" s="31" t="n">
        <v>5</v>
      </c>
      <c r="I87" s="31" t="n">
        <v>442</v>
      </c>
      <c r="J87" s="33" t="inlineStr">
        <is>
          <t>AAP</t>
        </is>
      </c>
      <c r="K87" s="31" t="n">
        <v>133</v>
      </c>
      <c r="L87" s="31" t="n">
        <v>108</v>
      </c>
      <c r="M87" s="31" t="n">
        <v>39</v>
      </c>
      <c r="N87" s="31" t="n">
        <v>17</v>
      </c>
      <c r="O87" s="31" t="n">
        <v>363</v>
      </c>
      <c r="P87" s="33" t="inlineStr">
        <is>
          <t>INC</t>
        </is>
      </c>
      <c r="Q87" s="34" t="n">
        <v>0.1266</v>
      </c>
      <c r="R87" s="34" t="n">
        <v>-0.1165</v>
      </c>
      <c r="S87" s="34" t="n">
        <v>-0.09849999999999999</v>
      </c>
      <c r="T87" s="34" t="n">
        <v>0.0355</v>
      </c>
      <c r="U87" s="31" t="n">
        <v>-79</v>
      </c>
      <c r="V87" s="31" t="n">
        <v>25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49" t="inlineStr">
        <is>
          <t>Flipped (INC → AAP)</t>
        </is>
      </c>
      <c r="E88" s="24" t="n">
        <v>285</v>
      </c>
      <c r="F88" s="24" t="n">
        <v>128</v>
      </c>
      <c r="G88" s="24" t="n">
        <v>203</v>
      </c>
      <c r="H88" s="24" t="n">
        <v>7</v>
      </c>
      <c r="I88" s="24" t="n">
        <v>640</v>
      </c>
      <c r="J88" s="26" t="inlineStr">
        <is>
          <t>INC</t>
        </is>
      </c>
      <c r="K88" s="24" t="n">
        <v>36</v>
      </c>
      <c r="L88" s="24" t="n">
        <v>359</v>
      </c>
      <c r="M88" s="24" t="n">
        <v>50</v>
      </c>
      <c r="N88" s="24" t="n">
        <v>64</v>
      </c>
      <c r="O88" s="24" t="n">
        <v>561</v>
      </c>
      <c r="P88" s="26" t="inlineStr">
        <is>
          <t>AAP</t>
        </is>
      </c>
      <c r="Q88" s="27" t="n">
        <v>-0.3811</v>
      </c>
      <c r="R88" s="27" t="n">
        <v>0.4399</v>
      </c>
      <c r="S88" s="27" t="n">
        <v>-0.2281</v>
      </c>
      <c r="T88" s="27" t="n">
        <v>0.1032</v>
      </c>
      <c r="U88" s="24" t="n">
        <v>-79</v>
      </c>
      <c r="V88" s="24" t="n">
        <v>295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48" t="inlineStr">
        <is>
          <t>Retained AAP</t>
        </is>
      </c>
      <c r="E89" s="31" t="n">
        <v>238</v>
      </c>
      <c r="F89" s="31" t="n">
        <v>371</v>
      </c>
      <c r="G89" s="31" t="n">
        <v>113</v>
      </c>
      <c r="H89" s="31" t="n">
        <v>5</v>
      </c>
      <c r="I89" s="31" t="n">
        <v>763</v>
      </c>
      <c r="J89" s="33" t="inlineStr">
        <is>
          <t>AAP</t>
        </is>
      </c>
      <c r="K89" s="31" t="n">
        <v>231</v>
      </c>
      <c r="L89" s="31" t="n">
        <v>304</v>
      </c>
      <c r="M89" s="31" t="n">
        <v>81</v>
      </c>
      <c r="N89" s="31" t="n">
        <v>23</v>
      </c>
      <c r="O89" s="31" t="n">
        <v>712</v>
      </c>
      <c r="P89" s="33" t="inlineStr">
        <is>
          <t>AAP</t>
        </is>
      </c>
      <c r="Q89" s="34" t="n">
        <v>0.0125</v>
      </c>
      <c r="R89" s="34" t="n">
        <v>-0.0592</v>
      </c>
      <c r="S89" s="34" t="n">
        <v>-0.0343</v>
      </c>
      <c r="T89" s="34" t="n">
        <v>0.0257</v>
      </c>
      <c r="U89" s="31" t="n">
        <v>-51</v>
      </c>
      <c r="V89" s="31" t="n">
        <v>73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49" t="inlineStr">
        <is>
          <t>Flipped (INC → AAP)</t>
        </is>
      </c>
      <c r="E90" s="24" t="n">
        <v>192</v>
      </c>
      <c r="F90" s="24" t="n">
        <v>122</v>
      </c>
      <c r="G90" s="24" t="n">
        <v>178</v>
      </c>
      <c r="H90" s="24" t="n">
        <v>15</v>
      </c>
      <c r="I90" s="24" t="n">
        <v>540</v>
      </c>
      <c r="J90" s="26" t="inlineStr">
        <is>
          <t>INC</t>
        </is>
      </c>
      <c r="K90" s="24" t="n">
        <v>123</v>
      </c>
      <c r="L90" s="24" t="n">
        <v>139</v>
      </c>
      <c r="M90" s="24" t="n">
        <v>68</v>
      </c>
      <c r="N90" s="24" t="n">
        <v>122</v>
      </c>
      <c r="O90" s="24" t="n">
        <v>497</v>
      </c>
      <c r="P90" s="26" t="inlineStr">
        <is>
          <t>AAP</t>
        </is>
      </c>
      <c r="Q90" s="27" t="n">
        <v>-0.1081</v>
      </c>
      <c r="R90" s="27" t="n">
        <v>0.0538</v>
      </c>
      <c r="S90" s="27" t="n">
        <v>-0.1928</v>
      </c>
      <c r="T90" s="27" t="n">
        <v>0.2177</v>
      </c>
      <c r="U90" s="24" t="n">
        <v>-43</v>
      </c>
      <c r="V90" s="24" t="n">
        <v>16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49" t="inlineStr">
        <is>
          <t>Flipped (SAD → AAP)</t>
        </is>
      </c>
      <c r="E91" s="31" t="n">
        <v>145</v>
      </c>
      <c r="F91" s="31" t="n">
        <v>133</v>
      </c>
      <c r="G91" s="31" t="n">
        <v>147</v>
      </c>
      <c r="H91" s="31" t="n">
        <v>9</v>
      </c>
      <c r="I91" s="31" t="n">
        <v>470</v>
      </c>
      <c r="J91" s="33" t="inlineStr">
        <is>
          <t>SAD</t>
        </is>
      </c>
      <c r="K91" s="31" t="n">
        <v>102</v>
      </c>
      <c r="L91" s="31" t="n">
        <v>135</v>
      </c>
      <c r="M91" s="31" t="n">
        <v>77</v>
      </c>
      <c r="N91" s="31" t="n">
        <v>58</v>
      </c>
      <c r="O91" s="31" t="n">
        <v>398</v>
      </c>
      <c r="P91" s="33" t="inlineStr">
        <is>
          <t>AAP</t>
        </is>
      </c>
      <c r="Q91" s="34" t="n">
        <v>-0.0522</v>
      </c>
      <c r="R91" s="34" t="n">
        <v>0.0562</v>
      </c>
      <c r="S91" s="34" t="n">
        <v>-0.1193</v>
      </c>
      <c r="T91" s="34" t="n">
        <v>0.1266</v>
      </c>
      <c r="U91" s="31" t="n">
        <v>-72</v>
      </c>
      <c r="V91" s="31" t="n">
        <v>33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49" t="inlineStr">
        <is>
          <t>Flipped (SAD → INC)</t>
        </is>
      </c>
      <c r="E92" s="24" t="n">
        <v>142</v>
      </c>
      <c r="F92" s="24" t="n">
        <v>279</v>
      </c>
      <c r="G92" s="24" t="n">
        <v>356</v>
      </c>
      <c r="H92" s="24" t="n">
        <v>22</v>
      </c>
      <c r="I92" s="24" t="n">
        <v>882</v>
      </c>
      <c r="J92" s="26" t="inlineStr">
        <is>
          <t>SAD</t>
        </is>
      </c>
      <c r="K92" s="24" t="n">
        <v>229</v>
      </c>
      <c r="L92" s="24" t="n">
        <v>131</v>
      </c>
      <c r="M92" s="24" t="n">
        <v>125</v>
      </c>
      <c r="N92" s="24" t="n">
        <v>65</v>
      </c>
      <c r="O92" s="24" t="n">
        <v>643</v>
      </c>
      <c r="P92" s="26" t="inlineStr">
        <is>
          <t>INC</t>
        </is>
      </c>
      <c r="Q92" s="27" t="n">
        <v>0.1951</v>
      </c>
      <c r="R92" s="27" t="n">
        <v>-0.1126</v>
      </c>
      <c r="S92" s="27" t="n">
        <v>-0.2092</v>
      </c>
      <c r="T92" s="27" t="n">
        <v>0.0762</v>
      </c>
      <c r="U92" s="24" t="n">
        <v>-239</v>
      </c>
      <c r="V92" s="24" t="n">
        <v>98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49" t="inlineStr">
        <is>
          <t>Flipped (SAD → AAP)</t>
        </is>
      </c>
      <c r="E93" s="31" t="n">
        <v>143</v>
      </c>
      <c r="F93" s="31" t="n">
        <v>191</v>
      </c>
      <c r="G93" s="31" t="n">
        <v>199</v>
      </c>
      <c r="H93" s="31" t="n">
        <v>7</v>
      </c>
      <c r="I93" s="31" t="n">
        <v>574</v>
      </c>
      <c r="J93" s="33" t="inlineStr">
        <is>
          <t>SAD</t>
        </is>
      </c>
      <c r="K93" s="31" t="n">
        <v>148</v>
      </c>
      <c r="L93" s="31" t="n">
        <v>170</v>
      </c>
      <c r="M93" s="31" t="n">
        <v>85</v>
      </c>
      <c r="N93" s="31" t="n">
        <v>14</v>
      </c>
      <c r="O93" s="31" t="n">
        <v>450</v>
      </c>
      <c r="P93" s="33" t="inlineStr">
        <is>
          <t>AAP</t>
        </is>
      </c>
      <c r="Q93" s="34" t="n">
        <v>0.07980000000000001</v>
      </c>
      <c r="R93" s="34" t="n">
        <v>0.045</v>
      </c>
      <c r="S93" s="34" t="n">
        <v>-0.1578</v>
      </c>
      <c r="T93" s="34" t="n">
        <v>0.0189</v>
      </c>
      <c r="U93" s="31" t="n">
        <v>-124</v>
      </c>
      <c r="V93" s="31" t="n">
        <v>22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48" t="inlineStr">
        <is>
          <t>Retained AAP</t>
        </is>
      </c>
      <c r="E94" s="24" t="n">
        <v>184</v>
      </c>
      <c r="F94" s="24" t="n">
        <v>231</v>
      </c>
      <c r="G94" s="24" t="n">
        <v>212</v>
      </c>
      <c r="H94" s="24" t="n">
        <v>7</v>
      </c>
      <c r="I94" s="24" t="n">
        <v>663</v>
      </c>
      <c r="J94" s="26" t="inlineStr">
        <is>
          <t>AAP</t>
        </is>
      </c>
      <c r="K94" s="24" t="n">
        <v>139</v>
      </c>
      <c r="L94" s="24" t="n">
        <v>213</v>
      </c>
      <c r="M94" s="24" t="n">
        <v>78</v>
      </c>
      <c r="N94" s="24" t="n">
        <v>33</v>
      </c>
      <c r="O94" s="24" t="n">
        <v>514</v>
      </c>
      <c r="P94" s="26" t="inlineStr">
        <is>
          <t>AAP</t>
        </is>
      </c>
      <c r="Q94" s="27" t="n">
        <v>-0.0071</v>
      </c>
      <c r="R94" s="27" t="n">
        <v>0.066</v>
      </c>
      <c r="S94" s="27" t="n">
        <v>-0.168</v>
      </c>
      <c r="T94" s="27" t="n">
        <v>0.0536</v>
      </c>
      <c r="U94" s="24" t="n">
        <v>-149</v>
      </c>
      <c r="V94" s="24" t="n">
        <v>74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49" t="inlineStr">
        <is>
          <t>Flipped (SAD → AAP)</t>
        </is>
      </c>
      <c r="E95" s="31" t="n">
        <v>186</v>
      </c>
      <c r="F95" s="31" t="n">
        <v>222</v>
      </c>
      <c r="G95" s="31" t="n">
        <v>234</v>
      </c>
      <c r="H95" s="31" t="n">
        <v>26</v>
      </c>
      <c r="I95" s="31" t="n">
        <v>760</v>
      </c>
      <c r="J95" s="33" t="inlineStr">
        <is>
          <t>SAD</t>
        </is>
      </c>
      <c r="K95" s="31" t="n">
        <v>157</v>
      </c>
      <c r="L95" s="31" t="n">
        <v>249</v>
      </c>
      <c r="M95" s="31" t="n">
        <v>130</v>
      </c>
      <c r="N95" s="31" t="n">
        <v>69</v>
      </c>
      <c r="O95" s="31" t="n">
        <v>661</v>
      </c>
      <c r="P95" s="33" t="inlineStr">
        <is>
          <t>AAP</t>
        </is>
      </c>
      <c r="Q95" s="34" t="n">
        <v>-0.0072</v>
      </c>
      <c r="R95" s="34" t="n">
        <v>0.08460000000000001</v>
      </c>
      <c r="S95" s="34" t="n">
        <v>-0.1112</v>
      </c>
      <c r="T95" s="34" t="n">
        <v>0.0702</v>
      </c>
      <c r="U95" s="31" t="n">
        <v>-99</v>
      </c>
      <c r="V95" s="31" t="n">
        <v>92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49" t="inlineStr">
        <is>
          <t>Flipped (AAP → INC)</t>
        </is>
      </c>
      <c r="E96" s="24" t="n">
        <v>176</v>
      </c>
      <c r="F96" s="24" t="n">
        <v>285</v>
      </c>
      <c r="G96" s="24" t="n">
        <v>163</v>
      </c>
      <c r="H96" s="24" t="n">
        <v>7</v>
      </c>
      <c r="I96" s="24" t="n">
        <v>666</v>
      </c>
      <c r="J96" s="26" t="inlineStr">
        <is>
          <t>AAP</t>
        </is>
      </c>
      <c r="K96" s="24" t="n">
        <v>264</v>
      </c>
      <c r="L96" s="24" t="n">
        <v>110</v>
      </c>
      <c r="M96" s="24" t="n">
        <v>88</v>
      </c>
      <c r="N96" s="24" t="n">
        <v>11</v>
      </c>
      <c r="O96" s="24" t="n">
        <v>577</v>
      </c>
      <c r="P96" s="26" t="inlineStr">
        <is>
          <t>INC</t>
        </is>
      </c>
      <c r="Q96" s="27" t="n">
        <v>0.1932</v>
      </c>
      <c r="R96" s="27" t="n">
        <v>-0.2373</v>
      </c>
      <c r="S96" s="27" t="n">
        <v>-0.0922</v>
      </c>
      <c r="T96" s="27" t="n">
        <v>0.0086</v>
      </c>
      <c r="U96" s="24" t="n">
        <v>-89</v>
      </c>
      <c r="V96" s="24" t="n">
        <v>154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49" t="inlineStr">
        <is>
          <t>Flipped (SAD → AAP)</t>
        </is>
      </c>
      <c r="E97" s="31" t="n">
        <v>161</v>
      </c>
      <c r="F97" s="31" t="n">
        <v>135</v>
      </c>
      <c r="G97" s="31" t="n">
        <v>163</v>
      </c>
      <c r="H97" s="31" t="n">
        <v>4</v>
      </c>
      <c r="I97" s="31" t="n">
        <v>472</v>
      </c>
      <c r="J97" s="33" t="inlineStr">
        <is>
          <t>SAD</t>
        </is>
      </c>
      <c r="K97" s="31" t="n">
        <v>112</v>
      </c>
      <c r="L97" s="31" t="n">
        <v>151</v>
      </c>
      <c r="M97" s="31" t="n">
        <v>49</v>
      </c>
      <c r="N97" s="31" t="n">
        <v>33</v>
      </c>
      <c r="O97" s="31" t="n">
        <v>400</v>
      </c>
      <c r="P97" s="33" t="inlineStr">
        <is>
          <t>AAP</t>
        </is>
      </c>
      <c r="Q97" s="34" t="n">
        <v>-0.0611</v>
      </c>
      <c r="R97" s="34" t="n">
        <v>0.0915</v>
      </c>
      <c r="S97" s="34" t="n">
        <v>-0.2228</v>
      </c>
      <c r="T97" s="34" t="n">
        <v>0.07400000000000001</v>
      </c>
      <c r="U97" s="31" t="n">
        <v>-72</v>
      </c>
      <c r="V97" s="31" t="n">
        <v>39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48" t="inlineStr">
        <is>
          <t>Retained SAD</t>
        </is>
      </c>
      <c r="E98" s="24" t="n">
        <v>203</v>
      </c>
      <c r="F98" s="24" t="n">
        <v>174</v>
      </c>
      <c r="G98" s="24" t="n">
        <v>330</v>
      </c>
      <c r="H98" s="24" t="n">
        <v>6</v>
      </c>
      <c r="I98" s="24" t="n">
        <v>740</v>
      </c>
      <c r="J98" s="26" t="inlineStr">
        <is>
          <t>SAD</t>
        </is>
      </c>
      <c r="K98" s="24" t="n">
        <v>121</v>
      </c>
      <c r="L98" s="24" t="n">
        <v>200</v>
      </c>
      <c r="M98" s="24" t="n">
        <v>207</v>
      </c>
      <c r="N98" s="24" t="n">
        <v>50</v>
      </c>
      <c r="O98" s="24" t="n">
        <v>664</v>
      </c>
      <c r="P98" s="26" t="inlineStr">
        <is>
          <t>SAD</t>
        </is>
      </c>
      <c r="Q98" s="27" t="n">
        <v>-0.09210000000000002</v>
      </c>
      <c r="R98" s="27" t="n">
        <v>0.06610000000000001</v>
      </c>
      <c r="S98" s="27" t="n">
        <v>-0.1342</v>
      </c>
      <c r="T98" s="27" t="n">
        <v>0.0672</v>
      </c>
      <c r="U98" s="24" t="n">
        <v>-76</v>
      </c>
      <c r="V98" s="24" t="n">
        <v>7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48" t="inlineStr">
        <is>
          <t>Retained SAD</t>
        </is>
      </c>
      <c r="E99" s="31" t="n">
        <v>140</v>
      </c>
      <c r="F99" s="31" t="n">
        <v>110</v>
      </c>
      <c r="G99" s="31" t="n">
        <v>209</v>
      </c>
      <c r="H99" s="31" t="n">
        <v>0</v>
      </c>
      <c r="I99" s="31" t="n">
        <v>467</v>
      </c>
      <c r="J99" s="33" t="inlineStr">
        <is>
          <t>SAD</t>
        </is>
      </c>
      <c r="K99" s="31" t="n">
        <v>53</v>
      </c>
      <c r="L99" s="31" t="n">
        <v>127</v>
      </c>
      <c r="M99" s="31" t="n">
        <v>181</v>
      </c>
      <c r="N99" s="31" t="n">
        <v>3</v>
      </c>
      <c r="O99" s="31" t="n">
        <v>399</v>
      </c>
      <c r="P99" s="33" t="inlineStr">
        <is>
          <t>SAD</t>
        </is>
      </c>
      <c r="Q99" s="34" t="n">
        <v>-0.167</v>
      </c>
      <c r="R99" s="34" t="n">
        <v>0.0828</v>
      </c>
      <c r="S99" s="34" t="n">
        <v>0.0061</v>
      </c>
      <c r="T99" s="34" t="n">
        <v>0.0075</v>
      </c>
      <c r="U99" s="31" t="n">
        <v>-68</v>
      </c>
      <c r="V99" s="31" t="n">
        <v>54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48" t="inlineStr">
        <is>
          <t>Retained INC</t>
        </is>
      </c>
      <c r="E100" s="24" t="n">
        <v>253</v>
      </c>
      <c r="F100" s="24" t="n">
        <v>81</v>
      </c>
      <c r="G100" s="24" t="n">
        <v>84</v>
      </c>
      <c r="H100" s="24" t="n">
        <v>0</v>
      </c>
      <c r="I100" s="24" t="n">
        <v>429</v>
      </c>
      <c r="J100" s="26" t="inlineStr">
        <is>
          <t>INC</t>
        </is>
      </c>
      <c r="K100" s="24" t="n">
        <v>170</v>
      </c>
      <c r="L100" s="24" t="n">
        <v>131</v>
      </c>
      <c r="M100" s="24" t="n">
        <v>16</v>
      </c>
      <c r="N100" s="24" t="n">
        <v>12</v>
      </c>
      <c r="O100" s="24" t="n">
        <v>364</v>
      </c>
      <c r="P100" s="26" t="inlineStr">
        <is>
          <t>INC</t>
        </is>
      </c>
      <c r="Q100" s="27" t="n">
        <v>-0.1227</v>
      </c>
      <c r="R100" s="27" t="n">
        <v>0.1711</v>
      </c>
      <c r="S100" s="27" t="n">
        <v>-0.1518</v>
      </c>
      <c r="T100" s="27" t="n">
        <v>0.033</v>
      </c>
      <c r="U100" s="24" t="n">
        <v>-65</v>
      </c>
      <c r="V100" s="24" t="n">
        <v>39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49" t="inlineStr">
        <is>
          <t>Flipped (SAD → INC)</t>
        </is>
      </c>
      <c r="E101" s="31" t="n">
        <v>251</v>
      </c>
      <c r="F101" s="31" t="n">
        <v>179</v>
      </c>
      <c r="G101" s="31" t="n">
        <v>265</v>
      </c>
      <c r="H101" s="31" t="n">
        <v>8</v>
      </c>
      <c r="I101" s="31" t="n">
        <v>723</v>
      </c>
      <c r="J101" s="33" t="inlineStr">
        <is>
          <t>SAD</t>
        </is>
      </c>
      <c r="K101" s="31" t="n">
        <v>225</v>
      </c>
      <c r="L101" s="31" t="n">
        <v>131</v>
      </c>
      <c r="M101" s="31" t="n">
        <v>167</v>
      </c>
      <c r="N101" s="31" t="n">
        <v>53</v>
      </c>
      <c r="O101" s="31" t="n">
        <v>632</v>
      </c>
      <c r="P101" s="33" t="inlineStr">
        <is>
          <t>INC</t>
        </is>
      </c>
      <c r="Q101" s="34" t="n">
        <v>0.008800000000000001</v>
      </c>
      <c r="R101" s="34" t="n">
        <v>-0.0403</v>
      </c>
      <c r="S101" s="34" t="n">
        <v>-0.1023</v>
      </c>
      <c r="T101" s="34" t="n">
        <v>0.0728</v>
      </c>
      <c r="U101" s="31" t="n">
        <v>-91</v>
      </c>
      <c r="V101" s="31" t="n">
        <v>58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49" t="inlineStr">
        <is>
          <t>Flipped (AAP → INC)</t>
        </is>
      </c>
      <c r="E102" s="24" t="n">
        <v>198</v>
      </c>
      <c r="F102" s="24" t="n">
        <v>250</v>
      </c>
      <c r="G102" s="24" t="n">
        <v>176</v>
      </c>
      <c r="H102" s="24" t="n">
        <v>4</v>
      </c>
      <c r="I102" s="24" t="n">
        <v>648</v>
      </c>
      <c r="J102" s="26" t="inlineStr">
        <is>
          <t>AAP</t>
        </is>
      </c>
      <c r="K102" s="24" t="n">
        <v>199</v>
      </c>
      <c r="L102" s="24" t="n">
        <v>155</v>
      </c>
      <c r="M102" s="24" t="n">
        <v>96</v>
      </c>
      <c r="N102" s="24" t="n">
        <v>39</v>
      </c>
      <c r="O102" s="24" t="n">
        <v>541</v>
      </c>
      <c r="P102" s="26" t="inlineStr">
        <is>
          <t>INC</t>
        </is>
      </c>
      <c r="Q102" s="27" t="n">
        <v>0.0622</v>
      </c>
      <c r="R102" s="27" t="n">
        <v>-0.0993</v>
      </c>
      <c r="S102" s="27" t="n">
        <v>-0.09420000000000001</v>
      </c>
      <c r="T102" s="27" t="n">
        <v>0.0659</v>
      </c>
      <c r="U102" s="24" t="n">
        <v>-107</v>
      </c>
      <c r="V102" s="24" t="n">
        <v>44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49" t="inlineStr">
        <is>
          <t>Flipped (INC → AAP)</t>
        </is>
      </c>
      <c r="E103" s="31" t="n">
        <v>220</v>
      </c>
      <c r="F103" s="31" t="n">
        <v>126</v>
      </c>
      <c r="G103" s="31" t="n">
        <v>175</v>
      </c>
      <c r="H103" s="31" t="n">
        <v>2</v>
      </c>
      <c r="I103" s="31" t="n">
        <v>537</v>
      </c>
      <c r="J103" s="33" t="inlineStr">
        <is>
          <t>INC</t>
        </is>
      </c>
      <c r="K103" s="31" t="n">
        <v>90</v>
      </c>
      <c r="L103" s="31" t="n">
        <v>164</v>
      </c>
      <c r="M103" s="31" t="n">
        <v>52</v>
      </c>
      <c r="N103" s="31" t="n">
        <v>33</v>
      </c>
      <c r="O103" s="31" t="n">
        <v>414</v>
      </c>
      <c r="P103" s="33" t="inlineStr">
        <is>
          <t>AAP</t>
        </is>
      </c>
      <c r="Q103" s="34" t="n">
        <v>-0.1923</v>
      </c>
      <c r="R103" s="34" t="n">
        <v>0.1615</v>
      </c>
      <c r="S103" s="34" t="n">
        <v>-0.2003</v>
      </c>
      <c r="T103" s="34" t="n">
        <v>0.076</v>
      </c>
      <c r="U103" s="31" t="n">
        <v>-123</v>
      </c>
      <c r="V103" s="31" t="n">
        <v>74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49" t="inlineStr">
        <is>
          <t>Flipped (INC → SAD)</t>
        </is>
      </c>
      <c r="E104" s="24" t="n">
        <v>151</v>
      </c>
      <c r="F104" s="24" t="n">
        <v>86</v>
      </c>
      <c r="G104" s="24" t="n">
        <v>144</v>
      </c>
      <c r="H104" s="24" t="n">
        <v>0</v>
      </c>
      <c r="I104" s="24" t="n">
        <v>386</v>
      </c>
      <c r="J104" s="26" t="inlineStr">
        <is>
          <t>INC</t>
        </is>
      </c>
      <c r="K104" s="24" t="n">
        <v>70</v>
      </c>
      <c r="L104" s="24" t="n">
        <v>94</v>
      </c>
      <c r="M104" s="24" t="n">
        <v>115</v>
      </c>
      <c r="N104" s="24" t="n">
        <v>45</v>
      </c>
      <c r="O104" s="24" t="n">
        <v>344</v>
      </c>
      <c r="P104" s="26" t="inlineStr">
        <is>
          <t>SAD</t>
        </is>
      </c>
      <c r="Q104" s="27" t="n">
        <v>-0.1877</v>
      </c>
      <c r="R104" s="27" t="n">
        <v>0.0505</v>
      </c>
      <c r="S104" s="27" t="n">
        <v>-0.0388</v>
      </c>
      <c r="T104" s="27" t="n">
        <v>0.1308</v>
      </c>
      <c r="U104" s="24" t="n">
        <v>-42</v>
      </c>
      <c r="V104" s="24" t="n">
        <v>21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48" t="inlineStr">
        <is>
          <t>Retained INC</t>
        </is>
      </c>
      <c r="E105" s="31" t="n">
        <v>374</v>
      </c>
      <c r="F105" s="31" t="n">
        <v>126</v>
      </c>
      <c r="G105" s="31" t="n">
        <v>276</v>
      </c>
      <c r="H105" s="31" t="n">
        <v>17</v>
      </c>
      <c r="I105" s="31" t="n">
        <v>815</v>
      </c>
      <c r="J105" s="33" t="inlineStr">
        <is>
          <t>INC</t>
        </is>
      </c>
      <c r="K105" s="31" t="n">
        <v>164</v>
      </c>
      <c r="L105" s="31" t="n">
        <v>152</v>
      </c>
      <c r="M105" s="31" t="n">
        <v>89</v>
      </c>
      <c r="N105" s="31" t="n">
        <v>124</v>
      </c>
      <c r="O105" s="31" t="n">
        <v>613</v>
      </c>
      <c r="P105" s="33" t="inlineStr">
        <is>
          <t>INC</t>
        </is>
      </c>
      <c r="Q105" s="34" t="n">
        <v>-0.1914</v>
      </c>
      <c r="R105" s="34" t="n">
        <v>0.0934</v>
      </c>
      <c r="S105" s="34" t="n">
        <v>-0.1935</v>
      </c>
      <c r="T105" s="34" t="n">
        <v>0.1814</v>
      </c>
      <c r="U105" s="31" t="n">
        <v>-202</v>
      </c>
      <c r="V105" s="31" t="n">
        <v>12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49" t="inlineStr">
        <is>
          <t>Flipped (INC → AAP)</t>
        </is>
      </c>
      <c r="E106" s="24" t="n">
        <v>260</v>
      </c>
      <c r="F106" s="24" t="n">
        <v>119</v>
      </c>
      <c r="G106" s="24" t="n">
        <v>153</v>
      </c>
      <c r="H106" s="24" t="n">
        <v>5</v>
      </c>
      <c r="I106" s="24" t="n">
        <v>567</v>
      </c>
      <c r="J106" s="26" t="inlineStr">
        <is>
          <t>INC</t>
        </is>
      </c>
      <c r="K106" s="24" t="n">
        <v>94</v>
      </c>
      <c r="L106" s="24" t="n">
        <v>138</v>
      </c>
      <c r="M106" s="24" t="n">
        <v>112</v>
      </c>
      <c r="N106" s="24" t="n">
        <v>11</v>
      </c>
      <c r="O106" s="24" t="n">
        <v>446</v>
      </c>
      <c r="P106" s="26" t="inlineStr">
        <is>
          <t>AAP</t>
        </is>
      </c>
      <c r="Q106" s="27" t="n">
        <v>-0.2478</v>
      </c>
      <c r="R106" s="27" t="n">
        <v>0.09949999999999999</v>
      </c>
      <c r="S106" s="27" t="n">
        <v>-0.0187</v>
      </c>
      <c r="T106" s="27" t="n">
        <v>0.0159</v>
      </c>
      <c r="U106" s="24" t="n">
        <v>-121</v>
      </c>
      <c r="V106" s="24" t="n">
        <v>26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48" t="inlineStr">
        <is>
          <t>Retained SAD</t>
        </is>
      </c>
      <c r="E107" s="31" t="n">
        <v>114</v>
      </c>
      <c r="F107" s="31" t="n">
        <v>222</v>
      </c>
      <c r="G107" s="31" t="n">
        <v>400</v>
      </c>
      <c r="H107" s="31" t="n">
        <v>12</v>
      </c>
      <c r="I107" s="31" t="n">
        <v>774</v>
      </c>
      <c r="J107" s="33" t="inlineStr">
        <is>
          <t>SAD</t>
        </is>
      </c>
      <c r="K107" s="31" t="n">
        <v>177</v>
      </c>
      <c r="L107" s="31" t="n">
        <v>70</v>
      </c>
      <c r="M107" s="31" t="n">
        <v>313</v>
      </c>
      <c r="N107" s="31" t="n">
        <v>80</v>
      </c>
      <c r="O107" s="31" t="n">
        <v>666</v>
      </c>
      <c r="P107" s="33" t="inlineStr">
        <is>
          <t>SAD</t>
        </is>
      </c>
      <c r="Q107" s="34" t="n">
        <v>0.1185</v>
      </c>
      <c r="R107" s="34" t="n">
        <v>-0.1817</v>
      </c>
      <c r="S107" s="34" t="n">
        <v>-0.04679999999999999</v>
      </c>
      <c r="T107" s="34" t="n">
        <v>0.1046</v>
      </c>
      <c r="U107" s="31" t="n">
        <v>-108</v>
      </c>
      <c r="V107" s="31" t="n">
        <v>136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48" t="inlineStr">
        <is>
          <t>Retained SAD</t>
        </is>
      </c>
      <c r="E108" s="24" t="n">
        <v>176</v>
      </c>
      <c r="F108" s="24" t="n">
        <v>214</v>
      </c>
      <c r="G108" s="24" t="n">
        <v>315</v>
      </c>
      <c r="H108" s="24" t="n">
        <v>2</v>
      </c>
      <c r="I108" s="24" t="n">
        <v>723</v>
      </c>
      <c r="J108" s="26" t="inlineStr">
        <is>
          <t>SAD</t>
        </is>
      </c>
      <c r="K108" s="24" t="n">
        <v>168</v>
      </c>
      <c r="L108" s="24" t="n">
        <v>111</v>
      </c>
      <c r="M108" s="24" t="n">
        <v>259</v>
      </c>
      <c r="N108" s="24" t="n">
        <v>14</v>
      </c>
      <c r="O108" s="24" t="n">
        <v>602</v>
      </c>
      <c r="P108" s="26" t="inlineStr">
        <is>
          <t>SAD</t>
        </is>
      </c>
      <c r="Q108" s="27" t="n">
        <v>0.0357</v>
      </c>
      <c r="R108" s="27" t="n">
        <v>-0.1116</v>
      </c>
      <c r="S108" s="27" t="n">
        <v>-0.005500000000000001</v>
      </c>
      <c r="T108" s="27" t="n">
        <v>0.0205</v>
      </c>
      <c r="U108" s="24" t="n">
        <v>-121</v>
      </c>
      <c r="V108" s="24" t="n">
        <v>91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48" t="inlineStr">
        <is>
          <t>Retained SAD</t>
        </is>
      </c>
      <c r="E109" s="31" t="n">
        <v>205</v>
      </c>
      <c r="F109" s="31" t="n">
        <v>203</v>
      </c>
      <c r="G109" s="31" t="n">
        <v>325</v>
      </c>
      <c r="H109" s="31" t="n">
        <v>6</v>
      </c>
      <c r="I109" s="31" t="n">
        <v>757</v>
      </c>
      <c r="J109" s="33" t="inlineStr">
        <is>
          <t>SAD</t>
        </is>
      </c>
      <c r="K109" s="31" t="n">
        <v>211</v>
      </c>
      <c r="L109" s="31" t="n">
        <v>65</v>
      </c>
      <c r="M109" s="31" t="n">
        <v>263</v>
      </c>
      <c r="N109" s="31" t="n">
        <v>47</v>
      </c>
      <c r="O109" s="31" t="n">
        <v>625</v>
      </c>
      <c r="P109" s="33" t="inlineStr">
        <is>
          <t>SAD</t>
        </is>
      </c>
      <c r="Q109" s="34" t="n">
        <v>0.0668</v>
      </c>
      <c r="R109" s="34" t="n">
        <v>-0.1642</v>
      </c>
      <c r="S109" s="34" t="n">
        <v>-0.008500000000000001</v>
      </c>
      <c r="T109" s="34" t="n">
        <v>0.0673</v>
      </c>
      <c r="U109" s="31" t="n">
        <v>-132</v>
      </c>
      <c r="V109" s="31" t="n">
        <v>52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48" t="inlineStr">
        <is>
          <t>Retained SAD</t>
        </is>
      </c>
      <c r="E110" s="24" t="n">
        <v>90</v>
      </c>
      <c r="F110" s="24" t="n">
        <v>154</v>
      </c>
      <c r="G110" s="24" t="n">
        <v>185</v>
      </c>
      <c r="H110" s="24" t="n">
        <v>3</v>
      </c>
      <c r="I110" s="24" t="n">
        <v>439</v>
      </c>
      <c r="J110" s="26" t="inlineStr">
        <is>
          <t>SAD</t>
        </is>
      </c>
      <c r="K110" s="24" t="n">
        <v>107</v>
      </c>
      <c r="L110" s="24" t="n">
        <v>64</v>
      </c>
      <c r="M110" s="24" t="n">
        <v>185</v>
      </c>
      <c r="N110" s="24" t="n">
        <v>32</v>
      </c>
      <c r="O110" s="24" t="n">
        <v>404</v>
      </c>
      <c r="P110" s="26" t="inlineStr">
        <is>
          <t>SAD</t>
        </is>
      </c>
      <c r="Q110" s="27" t="n">
        <v>0.0599</v>
      </c>
      <c r="R110" s="27" t="n">
        <v>-0.1924</v>
      </c>
      <c r="S110" s="27" t="n">
        <v>0.0365</v>
      </c>
      <c r="T110" s="27" t="n">
        <v>0.07240000000000001</v>
      </c>
      <c r="U110" s="24" t="n">
        <v>-35</v>
      </c>
      <c r="V110" s="24" t="n">
        <v>78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48" t="inlineStr">
        <is>
          <t>Retained SAD</t>
        </is>
      </c>
      <c r="E111" s="31" t="n">
        <v>244</v>
      </c>
      <c r="F111" s="31" t="n">
        <v>49</v>
      </c>
      <c r="G111" s="31" t="n">
        <v>257</v>
      </c>
      <c r="H111" s="31" t="n">
        <v>5</v>
      </c>
      <c r="I111" s="31" t="n">
        <v>566</v>
      </c>
      <c r="J111" s="33" t="inlineStr">
        <is>
          <t>SAD</t>
        </is>
      </c>
      <c r="K111" s="31" t="n">
        <v>168</v>
      </c>
      <c r="L111" s="31" t="n">
        <v>17</v>
      </c>
      <c r="M111" s="31" t="n">
        <v>225</v>
      </c>
      <c r="N111" s="31" t="n">
        <v>44</v>
      </c>
      <c r="O111" s="31" t="n">
        <v>473</v>
      </c>
      <c r="P111" s="33" t="inlineStr">
        <is>
          <t>SAD</t>
        </is>
      </c>
      <c r="Q111" s="34" t="n">
        <v>-0.0759</v>
      </c>
      <c r="R111" s="34" t="n">
        <v>-0.0507</v>
      </c>
      <c r="S111" s="34" t="n">
        <v>0.0216</v>
      </c>
      <c r="T111" s="34" t="n">
        <v>0.0842</v>
      </c>
      <c r="U111" s="31" t="n">
        <v>-93</v>
      </c>
      <c r="V111" s="31" t="n">
        <v>57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48" t="inlineStr">
        <is>
          <t>Retained SAD</t>
        </is>
      </c>
      <c r="E112" s="24" t="n">
        <v>214</v>
      </c>
      <c r="F112" s="24" t="n">
        <v>212</v>
      </c>
      <c r="G112" s="24" t="n">
        <v>325</v>
      </c>
      <c r="H112" s="24" t="n">
        <v>6</v>
      </c>
      <c r="I112" s="24" t="n">
        <v>775</v>
      </c>
      <c r="J112" s="26" t="inlineStr">
        <is>
          <t>SAD</t>
        </is>
      </c>
      <c r="K112" s="24" t="n">
        <v>205</v>
      </c>
      <c r="L112" s="24" t="n">
        <v>62</v>
      </c>
      <c r="M112" s="24" t="n">
        <v>317</v>
      </c>
      <c r="N112" s="24" t="n">
        <v>50</v>
      </c>
      <c r="O112" s="24" t="n">
        <v>655</v>
      </c>
      <c r="P112" s="26" t="inlineStr">
        <is>
          <t>SAD</t>
        </is>
      </c>
      <c r="Q112" s="27" t="n">
        <v>0.0369</v>
      </c>
      <c r="R112" s="27" t="n">
        <v>-0.1788</v>
      </c>
      <c r="S112" s="27" t="n">
        <v>0.0646</v>
      </c>
      <c r="T112" s="27" t="n">
        <v>0.06860000000000001</v>
      </c>
      <c r="U112" s="24" t="n">
        <v>-120</v>
      </c>
      <c r="V112" s="24" t="n">
        <v>112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48" t="inlineStr">
        <is>
          <t>Retained INC</t>
        </is>
      </c>
      <c r="E113" s="31" t="n">
        <v>296</v>
      </c>
      <c r="F113" s="31" t="n">
        <v>208</v>
      </c>
      <c r="G113" s="31" t="n">
        <v>143</v>
      </c>
      <c r="H113" s="31" t="n">
        <v>1</v>
      </c>
      <c r="I113" s="31" t="n">
        <v>671</v>
      </c>
      <c r="J113" s="33" t="inlineStr">
        <is>
          <t>INC</t>
        </is>
      </c>
      <c r="K113" s="31" t="n">
        <v>237</v>
      </c>
      <c r="L113" s="31" t="n">
        <v>65</v>
      </c>
      <c r="M113" s="31" t="n">
        <v>101</v>
      </c>
      <c r="N113" s="31" t="n">
        <v>111</v>
      </c>
      <c r="O113" s="31" t="n">
        <v>553</v>
      </c>
      <c r="P113" s="33" t="inlineStr">
        <is>
          <t>INC</t>
        </is>
      </c>
      <c r="Q113" s="34" t="n">
        <v>-0.0125</v>
      </c>
      <c r="R113" s="34" t="n">
        <v>-0.1925</v>
      </c>
      <c r="S113" s="34" t="n">
        <v>-0.0305</v>
      </c>
      <c r="T113" s="34" t="n">
        <v>0.1992</v>
      </c>
      <c r="U113" s="31" t="n">
        <v>-118</v>
      </c>
      <c r="V113" s="31" t="n">
        <v>126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49" t="inlineStr">
        <is>
          <t>Flipped (AAP → SAD)</t>
        </is>
      </c>
      <c r="E114" s="24" t="n">
        <v>210</v>
      </c>
      <c r="F114" s="24" t="n">
        <v>240</v>
      </c>
      <c r="G114" s="24" t="n">
        <v>195</v>
      </c>
      <c r="H114" s="24" t="n">
        <v>10</v>
      </c>
      <c r="I114" s="24" t="n">
        <v>693</v>
      </c>
      <c r="J114" s="26" t="inlineStr">
        <is>
          <t>AAP</t>
        </is>
      </c>
      <c r="K114" s="24" t="n">
        <v>137</v>
      </c>
      <c r="L114" s="24" t="n">
        <v>116</v>
      </c>
      <c r="M114" s="24" t="n">
        <v>164</v>
      </c>
      <c r="N114" s="24" t="n">
        <v>82</v>
      </c>
      <c r="O114" s="24" t="n">
        <v>563</v>
      </c>
      <c r="P114" s="26" t="inlineStr">
        <is>
          <t>SAD</t>
        </is>
      </c>
      <c r="Q114" s="27" t="n">
        <v>-0.0597</v>
      </c>
      <c r="R114" s="27" t="n">
        <v>-0.1403</v>
      </c>
      <c r="S114" s="27" t="n">
        <v>0.009899999999999999</v>
      </c>
      <c r="T114" s="27" t="n">
        <v>0.1312</v>
      </c>
      <c r="U114" s="24" t="n">
        <v>-130</v>
      </c>
      <c r="V114" s="24" t="n">
        <v>27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49" t="inlineStr">
        <is>
          <t>Flipped (AAP → SAD)</t>
        </is>
      </c>
      <c r="E115" s="31" t="n">
        <v>140</v>
      </c>
      <c r="F115" s="31" t="n">
        <v>265</v>
      </c>
      <c r="G115" s="31" t="n">
        <v>235</v>
      </c>
      <c r="H115" s="31" t="n">
        <v>11</v>
      </c>
      <c r="I115" s="31" t="n">
        <v>672</v>
      </c>
      <c r="J115" s="33" t="inlineStr">
        <is>
          <t>AAP</t>
        </is>
      </c>
      <c r="K115" s="31" t="n">
        <v>135</v>
      </c>
      <c r="L115" s="31" t="n">
        <v>141</v>
      </c>
      <c r="M115" s="31" t="n">
        <v>161</v>
      </c>
      <c r="N115" s="31" t="n">
        <v>36</v>
      </c>
      <c r="O115" s="31" t="n">
        <v>520</v>
      </c>
      <c r="P115" s="33" t="inlineStr">
        <is>
          <t>SAD</t>
        </is>
      </c>
      <c r="Q115" s="34" t="n">
        <v>0.0513</v>
      </c>
      <c r="R115" s="34" t="n">
        <v>-0.1231</v>
      </c>
      <c r="S115" s="34" t="n">
        <v>-0.0401</v>
      </c>
      <c r="T115" s="34" t="n">
        <v>0.0528</v>
      </c>
      <c r="U115" s="31" t="n">
        <v>-152</v>
      </c>
      <c r="V115" s="31" t="n">
        <v>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49" t="inlineStr">
        <is>
          <t>Flipped (SAD → INC)</t>
        </is>
      </c>
      <c r="E116" s="24" t="n">
        <v>156</v>
      </c>
      <c r="F116" s="24" t="n">
        <v>88</v>
      </c>
      <c r="G116" s="24" t="n">
        <v>222</v>
      </c>
      <c r="H116" s="24" t="n">
        <v>4</v>
      </c>
      <c r="I116" s="24" t="n">
        <v>494</v>
      </c>
      <c r="J116" s="26" t="inlineStr">
        <is>
          <t>SAD</t>
        </is>
      </c>
      <c r="K116" s="24" t="n">
        <v>176</v>
      </c>
      <c r="L116" s="24" t="n">
        <v>37</v>
      </c>
      <c r="M116" s="24" t="n">
        <v>149</v>
      </c>
      <c r="N116" s="24" t="n">
        <v>22</v>
      </c>
      <c r="O116" s="24" t="n">
        <v>407</v>
      </c>
      <c r="P116" s="26" t="inlineStr">
        <is>
          <t>INC</t>
        </is>
      </c>
      <c r="Q116" s="27" t="n">
        <v>0.1166</v>
      </c>
      <c r="R116" s="27" t="n">
        <v>-0.0872</v>
      </c>
      <c r="S116" s="27" t="n">
        <v>-0.0833</v>
      </c>
      <c r="T116" s="27" t="n">
        <v>0.046</v>
      </c>
      <c r="U116" s="24" t="n">
        <v>-87</v>
      </c>
      <c r="V116" s="24" t="n">
        <v>27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48" t="inlineStr">
        <is>
          <t>Retained INC</t>
        </is>
      </c>
      <c r="E117" s="31" t="n">
        <v>180</v>
      </c>
      <c r="F117" s="31" t="n">
        <v>84</v>
      </c>
      <c r="G117" s="31" t="n">
        <v>157</v>
      </c>
      <c r="H117" s="31" t="n">
        <v>3</v>
      </c>
      <c r="I117" s="31" t="n">
        <v>451</v>
      </c>
      <c r="J117" s="33" t="inlineStr">
        <is>
          <t>INC</t>
        </is>
      </c>
      <c r="K117" s="31" t="n">
        <v>203</v>
      </c>
      <c r="L117" s="31" t="n">
        <v>34</v>
      </c>
      <c r="M117" s="31" t="n">
        <v>89</v>
      </c>
      <c r="N117" s="31" t="n">
        <v>20</v>
      </c>
      <c r="O117" s="31" t="n">
        <v>367</v>
      </c>
      <c r="P117" s="33" t="inlineStr">
        <is>
          <t>INC</t>
        </is>
      </c>
      <c r="Q117" s="34" t="n">
        <v>0.154</v>
      </c>
      <c r="R117" s="34" t="n">
        <v>-0.09369999999999999</v>
      </c>
      <c r="S117" s="34" t="n">
        <v>-0.1056</v>
      </c>
      <c r="T117" s="34" t="n">
        <v>0.0478</v>
      </c>
      <c r="U117" s="31" t="n">
        <v>-84</v>
      </c>
      <c r="V117" s="31" t="n">
        <v>114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48" t="inlineStr">
        <is>
          <t>Retained SAD</t>
        </is>
      </c>
      <c r="E118" s="24" t="n">
        <v>179</v>
      </c>
      <c r="F118" s="24" t="n">
        <v>62</v>
      </c>
      <c r="G118" s="24" t="n">
        <v>249</v>
      </c>
      <c r="H118" s="24" t="n">
        <v>0</v>
      </c>
      <c r="I118" s="24" t="n">
        <v>510</v>
      </c>
      <c r="J118" s="26" t="inlineStr">
        <is>
          <t>SAD</t>
        </is>
      </c>
      <c r="K118" s="24" t="n">
        <v>134</v>
      </c>
      <c r="L118" s="24" t="n">
        <v>57</v>
      </c>
      <c r="M118" s="24" t="n">
        <v>214</v>
      </c>
      <c r="N118" s="24" t="n">
        <v>8</v>
      </c>
      <c r="O118" s="24" t="n">
        <v>439</v>
      </c>
      <c r="P118" s="26" t="inlineStr">
        <is>
          <t>SAD</t>
        </is>
      </c>
      <c r="Q118" s="27" t="n">
        <v>-0.0458</v>
      </c>
      <c r="R118" s="27" t="n">
        <v>0.008199999999999999</v>
      </c>
      <c r="S118" s="27" t="n">
        <v>-0.0007000000000000001</v>
      </c>
      <c r="T118" s="27" t="n">
        <v>0.0182</v>
      </c>
      <c r="U118" s="24" t="n">
        <v>-71</v>
      </c>
      <c r="V118" s="24" t="n">
        <v>80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48" t="inlineStr">
        <is>
          <t>Retained INC</t>
        </is>
      </c>
      <c r="E119" s="31" t="n">
        <v>246</v>
      </c>
      <c r="F119" s="31" t="n">
        <v>227</v>
      </c>
      <c r="G119" s="31" t="n">
        <v>234</v>
      </c>
      <c r="H119" s="31" t="n">
        <v>5</v>
      </c>
      <c r="I119" s="31" t="n">
        <v>740</v>
      </c>
      <c r="J119" s="33" t="inlineStr">
        <is>
          <t>INC</t>
        </is>
      </c>
      <c r="K119" s="31" t="n">
        <v>234</v>
      </c>
      <c r="L119" s="31" t="n">
        <v>123</v>
      </c>
      <c r="M119" s="31" t="n">
        <v>87</v>
      </c>
      <c r="N119" s="31" t="n">
        <v>150</v>
      </c>
      <c r="O119" s="31" t="n">
        <v>669</v>
      </c>
      <c r="P119" s="33" t="inlineStr">
        <is>
          <t>INC</t>
        </is>
      </c>
      <c r="Q119" s="34" t="n">
        <v>0.0174</v>
      </c>
      <c r="R119" s="34" t="n">
        <v>-0.1229</v>
      </c>
      <c r="S119" s="34" t="n">
        <v>-0.1862</v>
      </c>
      <c r="T119" s="34" t="n">
        <v>0.2174</v>
      </c>
      <c r="U119" s="31" t="n">
        <v>-71</v>
      </c>
      <c r="V119" s="31" t="n">
        <v>84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49" t="inlineStr">
        <is>
          <t>Flipped (SAD → INC)</t>
        </is>
      </c>
      <c r="E120" s="24" t="n">
        <v>362</v>
      </c>
      <c r="F120" s="24" t="n">
        <v>149</v>
      </c>
      <c r="G120" s="24" t="n">
        <v>376</v>
      </c>
      <c r="H120" s="24" t="n">
        <v>4</v>
      </c>
      <c r="I120" s="24" t="n">
        <v>931</v>
      </c>
      <c r="J120" s="26" t="inlineStr">
        <is>
          <t>SAD</t>
        </is>
      </c>
      <c r="K120" s="24" t="n">
        <v>307</v>
      </c>
      <c r="L120" s="24" t="n">
        <v>223</v>
      </c>
      <c r="M120" s="24" t="n">
        <v>142</v>
      </c>
      <c r="N120" s="24" t="n">
        <v>62</v>
      </c>
      <c r="O120" s="24" t="n">
        <v>801</v>
      </c>
      <c r="P120" s="26" t="inlineStr">
        <is>
          <t>INC</t>
        </is>
      </c>
      <c r="Q120" s="27" t="n">
        <v>-0.005500000000000001</v>
      </c>
      <c r="R120" s="27" t="n">
        <v>0.1184</v>
      </c>
      <c r="S120" s="27" t="n">
        <v>-0.2266</v>
      </c>
      <c r="T120" s="27" t="n">
        <v>0.0731</v>
      </c>
      <c r="U120" s="24" t="n">
        <v>-130</v>
      </c>
      <c r="V120" s="24" t="n">
        <v>84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49" t="inlineStr">
        <is>
          <t>Flipped (INC → SAD)</t>
        </is>
      </c>
      <c r="E121" s="31" t="n">
        <v>265</v>
      </c>
      <c r="F121" s="31" t="n">
        <v>211</v>
      </c>
      <c r="G121" s="31" t="n">
        <v>246</v>
      </c>
      <c r="H121" s="31" t="n">
        <v>8</v>
      </c>
      <c r="I121" s="31" t="n">
        <v>779</v>
      </c>
      <c r="J121" s="33" t="inlineStr">
        <is>
          <t>INC</t>
        </is>
      </c>
      <c r="K121" s="31" t="n">
        <v>142</v>
      </c>
      <c r="L121" s="31" t="n">
        <v>154</v>
      </c>
      <c r="M121" s="31" t="n">
        <v>208</v>
      </c>
      <c r="N121" s="31" t="n">
        <v>61</v>
      </c>
      <c r="O121" s="31" t="n">
        <v>625</v>
      </c>
      <c r="P121" s="33" t="inlineStr">
        <is>
          <t>SAD</t>
        </is>
      </c>
      <c r="Q121" s="34" t="n">
        <v>-0.113</v>
      </c>
      <c r="R121" s="34" t="n">
        <v>-0.0245</v>
      </c>
      <c r="S121" s="34" t="n">
        <v>0.017</v>
      </c>
      <c r="T121" s="34" t="n">
        <v>0.0873</v>
      </c>
      <c r="U121" s="31" t="n">
        <v>-154</v>
      </c>
      <c r="V121" s="31" t="n">
        <v>54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48" t="inlineStr">
        <is>
          <t>Retained INC</t>
        </is>
      </c>
      <c r="E122" s="24" t="n">
        <v>146</v>
      </c>
      <c r="F122" s="24" t="n">
        <v>23</v>
      </c>
      <c r="G122" s="24" t="n">
        <v>100</v>
      </c>
      <c r="H122" s="24" t="n">
        <v>3</v>
      </c>
      <c r="I122" s="24" t="n">
        <v>279</v>
      </c>
      <c r="J122" s="26" t="inlineStr">
        <is>
          <t>INC</t>
        </is>
      </c>
      <c r="K122" s="24" t="n">
        <v>145</v>
      </c>
      <c r="L122" s="24" t="n">
        <v>22</v>
      </c>
      <c r="M122" s="24" t="n">
        <v>80</v>
      </c>
      <c r="N122" s="24" t="n">
        <v>3</v>
      </c>
      <c r="O122" s="24" t="n">
        <v>264</v>
      </c>
      <c r="P122" s="26" t="inlineStr">
        <is>
          <t>INC</t>
        </is>
      </c>
      <c r="Q122" s="27" t="n">
        <v>0.0259</v>
      </c>
      <c r="R122" s="27" t="n">
        <v>0.0009</v>
      </c>
      <c r="S122" s="27" t="n">
        <v>-0.0554</v>
      </c>
      <c r="T122" s="27" t="n">
        <v>0.0005999999999999999</v>
      </c>
      <c r="U122" s="24" t="n">
        <v>-15</v>
      </c>
      <c r="V122" s="24" t="n">
        <v>65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49" t="inlineStr">
        <is>
          <t>Flipped (SAD → AAP)</t>
        </is>
      </c>
      <c r="E123" s="31" t="n">
        <v>183</v>
      </c>
      <c r="F123" s="31" t="n">
        <v>182</v>
      </c>
      <c r="G123" s="31" t="n">
        <v>364</v>
      </c>
      <c r="H123" s="31" t="n">
        <v>5</v>
      </c>
      <c r="I123" s="31" t="n">
        <v>744</v>
      </c>
      <c r="J123" s="33" t="inlineStr">
        <is>
          <t>SAD</t>
        </is>
      </c>
      <c r="K123" s="31" t="n">
        <v>191</v>
      </c>
      <c r="L123" s="31" t="n">
        <v>255</v>
      </c>
      <c r="M123" s="31" t="n">
        <v>140</v>
      </c>
      <c r="N123" s="31" t="n">
        <v>15</v>
      </c>
      <c r="O123" s="31" t="n">
        <v>668</v>
      </c>
      <c r="P123" s="33" t="inlineStr">
        <is>
          <t>AAP</t>
        </is>
      </c>
      <c r="Q123" s="34" t="n">
        <v>0.0399</v>
      </c>
      <c r="R123" s="34" t="n">
        <v>0.1371</v>
      </c>
      <c r="S123" s="34" t="n">
        <v>-0.2796</v>
      </c>
      <c r="T123" s="34" t="n">
        <v>0.0158</v>
      </c>
      <c r="U123" s="31" t="n">
        <v>-76</v>
      </c>
      <c r="V123" s="31" t="n">
        <v>64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49" t="inlineStr">
        <is>
          <t>Flipped (AAP → INC)</t>
        </is>
      </c>
      <c r="E124" s="24" t="n">
        <v>237</v>
      </c>
      <c r="F124" s="24" t="n">
        <v>338</v>
      </c>
      <c r="G124" s="24" t="n">
        <v>215</v>
      </c>
      <c r="H124" s="24" t="n">
        <v>1</v>
      </c>
      <c r="I124" s="24" t="n">
        <v>833</v>
      </c>
      <c r="J124" s="26" t="inlineStr">
        <is>
          <t>AAP</t>
        </is>
      </c>
      <c r="K124" s="24" t="n">
        <v>195</v>
      </c>
      <c r="L124" s="24" t="n">
        <v>148</v>
      </c>
      <c r="M124" s="24" t="n">
        <v>177</v>
      </c>
      <c r="N124" s="24" t="n">
        <v>56</v>
      </c>
      <c r="O124" s="24" t="n">
        <v>678</v>
      </c>
      <c r="P124" s="26" t="inlineStr">
        <is>
          <t>INC</t>
        </is>
      </c>
      <c r="Q124" s="27" t="n">
        <v>0.0031</v>
      </c>
      <c r="R124" s="27" t="n">
        <v>-0.1875</v>
      </c>
      <c r="S124" s="27" t="n">
        <v>0.003</v>
      </c>
      <c r="T124" s="27" t="n">
        <v>0.0814</v>
      </c>
      <c r="U124" s="24" t="n">
        <v>-155</v>
      </c>
      <c r="V124" s="24" t="n">
        <v>18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49" t="inlineStr">
        <is>
          <t>Flipped (AAP → INC)</t>
        </is>
      </c>
      <c r="E125" s="31" t="n">
        <v>212</v>
      </c>
      <c r="F125" s="31" t="n">
        <v>230</v>
      </c>
      <c r="G125" s="31" t="n">
        <v>221</v>
      </c>
      <c r="H125" s="31" t="n">
        <v>8</v>
      </c>
      <c r="I125" s="31" t="n">
        <v>706</v>
      </c>
      <c r="J125" s="33" t="inlineStr">
        <is>
          <t>AAP</t>
        </is>
      </c>
      <c r="K125" s="31" t="n">
        <v>160</v>
      </c>
      <c r="L125" s="31" t="n">
        <v>115</v>
      </c>
      <c r="M125" s="31" t="n">
        <v>90</v>
      </c>
      <c r="N125" s="31" t="n">
        <v>156</v>
      </c>
      <c r="O125" s="31" t="n">
        <v>569</v>
      </c>
      <c r="P125" s="33" t="inlineStr">
        <is>
          <t>INC</t>
        </is>
      </c>
      <c r="Q125" s="34" t="n">
        <v>-0.0191</v>
      </c>
      <c r="R125" s="34" t="n">
        <v>-0.1237</v>
      </c>
      <c r="S125" s="34" t="n">
        <v>-0.1548</v>
      </c>
      <c r="T125" s="34" t="n">
        <v>0.2629</v>
      </c>
      <c r="U125" s="31" t="n">
        <v>-137</v>
      </c>
      <c r="V125" s="31" t="n">
        <v>4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49" t="inlineStr">
        <is>
          <t>Flipped (SAD → INC)</t>
        </is>
      </c>
      <c r="E126" s="24" t="n">
        <v>184</v>
      </c>
      <c r="F126" s="24" t="n">
        <v>238</v>
      </c>
      <c r="G126" s="24" t="n">
        <v>262</v>
      </c>
      <c r="H126" s="24" t="n">
        <v>4</v>
      </c>
      <c r="I126" s="24" t="n">
        <v>712</v>
      </c>
      <c r="J126" s="26" t="inlineStr">
        <is>
          <t>SAD</t>
        </is>
      </c>
      <c r="K126" s="24" t="n">
        <v>236</v>
      </c>
      <c r="L126" s="24" t="n">
        <v>106</v>
      </c>
      <c r="M126" s="24" t="n">
        <v>168</v>
      </c>
      <c r="N126" s="24" t="n">
        <v>21</v>
      </c>
      <c r="O126" s="24" t="n">
        <v>587</v>
      </c>
      <c r="P126" s="26" t="inlineStr">
        <is>
          <t>INC</t>
        </is>
      </c>
      <c r="Q126" s="27" t="n">
        <v>0.1436</v>
      </c>
      <c r="R126" s="27" t="n">
        <v>-0.1537</v>
      </c>
      <c r="S126" s="27" t="n">
        <v>-0.0818</v>
      </c>
      <c r="T126" s="27" t="n">
        <v>0.0302</v>
      </c>
      <c r="U126" s="24" t="n">
        <v>-125</v>
      </c>
      <c r="V126" s="24" t="n">
        <v>68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48" t="inlineStr">
        <is>
          <t>Retained INC</t>
        </is>
      </c>
      <c r="E127" s="31" t="n">
        <v>193</v>
      </c>
      <c r="F127" s="31" t="n">
        <v>95</v>
      </c>
      <c r="G127" s="31" t="n">
        <v>80</v>
      </c>
      <c r="H127" s="31" t="n">
        <v>2</v>
      </c>
      <c r="I127" s="31" t="n">
        <v>379</v>
      </c>
      <c r="J127" s="33" t="inlineStr">
        <is>
          <t>INC</t>
        </is>
      </c>
      <c r="K127" s="31" t="n">
        <v>155</v>
      </c>
      <c r="L127" s="31" t="n">
        <v>116</v>
      </c>
      <c r="M127" s="31" t="n">
        <v>25</v>
      </c>
      <c r="N127" s="31" t="n">
        <v>2</v>
      </c>
      <c r="O127" s="31" t="n">
        <v>331</v>
      </c>
      <c r="P127" s="33" t="inlineStr">
        <is>
          <t>INC</t>
        </is>
      </c>
      <c r="Q127" s="34" t="n">
        <v>-0.0409</v>
      </c>
      <c r="R127" s="34" t="n">
        <v>0.0998</v>
      </c>
      <c r="S127" s="34" t="n">
        <v>-0.1356</v>
      </c>
      <c r="T127" s="34" t="n">
        <v>0.0007000000000000001</v>
      </c>
      <c r="U127" s="31" t="n">
        <v>-48</v>
      </c>
      <c r="V127" s="31" t="n">
        <v>39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49" t="inlineStr">
        <is>
          <t>Flipped (AAP → INC)</t>
        </is>
      </c>
      <c r="E128" s="24" t="n">
        <v>183</v>
      </c>
      <c r="F128" s="24" t="n">
        <v>198</v>
      </c>
      <c r="G128" s="24" t="n">
        <v>180</v>
      </c>
      <c r="H128" s="24" t="n">
        <v>3</v>
      </c>
      <c r="I128" s="24" t="n">
        <v>574</v>
      </c>
      <c r="J128" s="26" t="inlineStr">
        <is>
          <t>AAP</t>
        </is>
      </c>
      <c r="K128" s="24" t="n">
        <v>209</v>
      </c>
      <c r="L128" s="24" t="n">
        <v>137</v>
      </c>
      <c r="M128" s="24" t="n">
        <v>87</v>
      </c>
      <c r="N128" s="24" t="n">
        <v>11</v>
      </c>
      <c r="O128" s="24" t="n">
        <v>465</v>
      </c>
      <c r="P128" s="26" t="inlineStr">
        <is>
          <t>INC</t>
        </is>
      </c>
      <c r="Q128" s="27" t="n">
        <v>0.1307</v>
      </c>
      <c r="R128" s="27" t="n">
        <v>-0.0503</v>
      </c>
      <c r="S128" s="27" t="n">
        <v>-0.1265</v>
      </c>
      <c r="T128" s="27" t="n">
        <v>0.0185</v>
      </c>
      <c r="U128" s="24" t="n">
        <v>-109</v>
      </c>
      <c r="V128" s="24" t="n">
        <v>72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48" t="inlineStr">
        <is>
          <t>Retained AAP</t>
        </is>
      </c>
      <c r="E129" s="31" t="n">
        <v>172</v>
      </c>
      <c r="F129" s="31" t="n">
        <v>199</v>
      </c>
      <c r="G129" s="31" t="n">
        <v>105</v>
      </c>
      <c r="H129" s="31" t="n">
        <v>4</v>
      </c>
      <c r="I129" s="31" t="n">
        <v>515</v>
      </c>
      <c r="J129" s="33" t="inlineStr">
        <is>
          <t>AAP</t>
        </is>
      </c>
      <c r="K129" s="31" t="n">
        <v>107</v>
      </c>
      <c r="L129" s="31" t="n">
        <v>177</v>
      </c>
      <c r="M129" s="31" t="n">
        <v>54</v>
      </c>
      <c r="N129" s="31" t="n">
        <v>4</v>
      </c>
      <c r="O129" s="31" t="n">
        <v>402</v>
      </c>
      <c r="P129" s="33" t="inlineStr">
        <is>
          <t>AAP</t>
        </is>
      </c>
      <c r="Q129" s="34" t="n">
        <v>-0.0678</v>
      </c>
      <c r="R129" s="34" t="n">
        <v>0.0539</v>
      </c>
      <c r="S129" s="34" t="n">
        <v>-0.0696</v>
      </c>
      <c r="T129" s="34" t="n">
        <v>0.0022</v>
      </c>
      <c r="U129" s="31" t="n">
        <v>-113</v>
      </c>
      <c r="V129" s="31" t="n">
        <v>70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48" t="inlineStr">
        <is>
          <t>Retained INC</t>
        </is>
      </c>
      <c r="E130" s="24" t="n">
        <v>308</v>
      </c>
      <c r="F130" s="24" t="n">
        <v>119</v>
      </c>
      <c r="G130" s="24" t="n">
        <v>84</v>
      </c>
      <c r="H130" s="24" t="n">
        <v>6</v>
      </c>
      <c r="I130" s="24" t="n">
        <v>554</v>
      </c>
      <c r="J130" s="26" t="inlineStr">
        <is>
          <t>INC</t>
        </is>
      </c>
      <c r="K130" s="24" t="n">
        <v>172</v>
      </c>
      <c r="L130" s="24" t="n">
        <v>151</v>
      </c>
      <c r="M130" s="24" t="n">
        <v>33</v>
      </c>
      <c r="N130" s="24" t="n">
        <v>51</v>
      </c>
      <c r="O130" s="24" t="n">
        <v>486</v>
      </c>
      <c r="P130" s="26" t="inlineStr">
        <is>
          <t>INC</t>
        </is>
      </c>
      <c r="Q130" s="27" t="n">
        <v>-0.2021</v>
      </c>
      <c r="R130" s="27" t="n">
        <v>0.0959</v>
      </c>
      <c r="S130" s="27" t="n">
        <v>-0.0837</v>
      </c>
      <c r="T130" s="27" t="n">
        <v>0.0941</v>
      </c>
      <c r="U130" s="24" t="n">
        <v>-68</v>
      </c>
      <c r="V130" s="24" t="n">
        <v>21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49" t="inlineStr">
        <is>
          <t>Flipped (AAP → INC)</t>
        </is>
      </c>
      <c r="E131" s="31" t="n">
        <v>123</v>
      </c>
      <c r="F131" s="31" t="n">
        <v>174</v>
      </c>
      <c r="G131" s="31" t="n">
        <v>144</v>
      </c>
      <c r="H131" s="31" t="n">
        <v>3</v>
      </c>
      <c r="I131" s="31" t="n">
        <v>490</v>
      </c>
      <c r="J131" s="33" t="inlineStr">
        <is>
          <t>AAP</t>
        </is>
      </c>
      <c r="K131" s="31" t="n">
        <v>120</v>
      </c>
      <c r="L131" s="31" t="n">
        <v>105</v>
      </c>
      <c r="M131" s="31" t="n">
        <v>86</v>
      </c>
      <c r="N131" s="31" t="n">
        <v>18</v>
      </c>
      <c r="O131" s="31" t="n">
        <v>383</v>
      </c>
      <c r="P131" s="33" t="inlineStr">
        <is>
          <t>INC</t>
        </is>
      </c>
      <c r="Q131" s="34" t="n">
        <v>0.0623</v>
      </c>
      <c r="R131" s="34" t="n">
        <v>-0.0809</v>
      </c>
      <c r="S131" s="34" t="n">
        <v>-0.0694</v>
      </c>
      <c r="T131" s="34" t="n">
        <v>0.0409</v>
      </c>
      <c r="U131" s="31" t="n">
        <v>-107</v>
      </c>
      <c r="V131" s="31" t="n">
        <v>15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49" t="inlineStr">
        <is>
          <t>Flipped (SAD → AAP)</t>
        </is>
      </c>
      <c r="E132" s="24" t="n">
        <v>130</v>
      </c>
      <c r="F132" s="24" t="n">
        <v>139</v>
      </c>
      <c r="G132" s="24" t="n">
        <v>280</v>
      </c>
      <c r="H132" s="24" t="n">
        <v>5</v>
      </c>
      <c r="I132" s="24" t="n">
        <v>580</v>
      </c>
      <c r="J132" s="26" t="inlineStr">
        <is>
          <t>SAD</t>
        </is>
      </c>
      <c r="K132" s="24" t="n">
        <v>122</v>
      </c>
      <c r="L132" s="24" t="n">
        <v>165</v>
      </c>
      <c r="M132" s="24" t="n">
        <v>163</v>
      </c>
      <c r="N132" s="24" t="n">
        <v>10</v>
      </c>
      <c r="O132" s="24" t="n">
        <v>526</v>
      </c>
      <c r="P132" s="26" t="inlineStr">
        <is>
          <t>AAP</t>
        </is>
      </c>
      <c r="Q132" s="27" t="n">
        <v>0.007800000000000001</v>
      </c>
      <c r="R132" s="27" t="n">
        <v>0.07400000000000001</v>
      </c>
      <c r="S132" s="27" t="n">
        <v>-0.1729</v>
      </c>
      <c r="T132" s="27" t="n">
        <v>0.0104</v>
      </c>
      <c r="U132" s="24" t="n">
        <v>-54</v>
      </c>
      <c r="V132" s="24" t="n">
        <v>2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49" t="inlineStr">
        <is>
          <t>Flipped (AAP → BJP)</t>
        </is>
      </c>
      <c r="E133" s="31" t="n">
        <v>151</v>
      </c>
      <c r="F133" s="31" t="n">
        <v>239</v>
      </c>
      <c r="G133" s="31" t="n">
        <v>214</v>
      </c>
      <c r="H133" s="31" t="n">
        <v>5</v>
      </c>
      <c r="I133" s="31" t="n">
        <v>634</v>
      </c>
      <c r="J133" s="33" t="inlineStr">
        <is>
          <t>AAP</t>
        </is>
      </c>
      <c r="K133" s="31" t="n">
        <v>92</v>
      </c>
      <c r="L133" s="31" t="n">
        <v>84</v>
      </c>
      <c r="M133" s="31" t="n">
        <v>78</v>
      </c>
      <c r="N133" s="31" t="n">
        <v>177</v>
      </c>
      <c r="O133" s="31" t="n">
        <v>499</v>
      </c>
      <c r="P133" s="33" t="inlineStr">
        <is>
          <t>BJP</t>
        </is>
      </c>
      <c r="Q133" s="34" t="n">
        <v>-0.0538</v>
      </c>
      <c r="R133" s="34" t="n">
        <v>-0.2087</v>
      </c>
      <c r="S133" s="34" t="n">
        <v>-0.1812</v>
      </c>
      <c r="T133" s="34" t="n">
        <v>0.3468</v>
      </c>
      <c r="U133" s="31" t="n">
        <v>-135</v>
      </c>
      <c r="V133" s="31" t="n">
        <v>85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49" t="inlineStr">
        <is>
          <t>Flipped (AAP → INC)</t>
        </is>
      </c>
      <c r="E134" s="24" t="n">
        <v>245</v>
      </c>
      <c r="F134" s="24" t="n">
        <v>297</v>
      </c>
      <c r="G134" s="24" t="n">
        <v>179</v>
      </c>
      <c r="H134" s="24" t="n">
        <v>3</v>
      </c>
      <c r="I134" s="24" t="n">
        <v>761</v>
      </c>
      <c r="J134" s="26" t="inlineStr">
        <is>
          <t>AAP</t>
        </is>
      </c>
      <c r="K134" s="24" t="n">
        <v>300</v>
      </c>
      <c r="L134" s="24" t="n">
        <v>144</v>
      </c>
      <c r="M134" s="24" t="n">
        <v>81</v>
      </c>
      <c r="N134" s="24" t="n">
        <v>102</v>
      </c>
      <c r="O134" s="24" t="n">
        <v>691</v>
      </c>
      <c r="P134" s="26" t="inlineStr">
        <is>
          <t>INC</t>
        </is>
      </c>
      <c r="Q134" s="27" t="n">
        <v>0.1123</v>
      </c>
      <c r="R134" s="27" t="n">
        <v>-0.1819</v>
      </c>
      <c r="S134" s="27" t="n">
        <v>-0.118</v>
      </c>
      <c r="T134" s="27" t="n">
        <v>0.1437</v>
      </c>
      <c r="U134" s="24" t="n">
        <v>-70</v>
      </c>
      <c r="V134" s="24" t="n">
        <v>156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49" t="inlineStr">
        <is>
          <t>Flipped (SAD → INC)</t>
        </is>
      </c>
      <c r="E135" s="31" t="n">
        <v>208</v>
      </c>
      <c r="F135" s="31" t="n">
        <v>225</v>
      </c>
      <c r="G135" s="31" t="n">
        <v>227</v>
      </c>
      <c r="H135" s="31" t="n">
        <v>4</v>
      </c>
      <c r="I135" s="31" t="n">
        <v>681</v>
      </c>
      <c r="J135" s="33" t="inlineStr">
        <is>
          <t>SAD</t>
        </is>
      </c>
      <c r="K135" s="31" t="n">
        <v>237</v>
      </c>
      <c r="L135" s="31" t="n">
        <v>139</v>
      </c>
      <c r="M135" s="31" t="n">
        <v>125</v>
      </c>
      <c r="N135" s="31" t="n">
        <v>59</v>
      </c>
      <c r="O135" s="31" t="n">
        <v>615</v>
      </c>
      <c r="P135" s="33" t="inlineStr">
        <is>
          <t>INC</t>
        </is>
      </c>
      <c r="Q135" s="34" t="n">
        <v>0.08</v>
      </c>
      <c r="R135" s="34" t="n">
        <v>-0.1044</v>
      </c>
      <c r="S135" s="34" t="n">
        <v>-0.13</v>
      </c>
      <c r="T135" s="34" t="n">
        <v>0.09</v>
      </c>
      <c r="U135" s="31" t="n">
        <v>-66</v>
      </c>
      <c r="V135" s="31" t="n">
        <v>98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49" t="inlineStr">
        <is>
          <t>Flipped (INC → AAP)</t>
        </is>
      </c>
      <c r="E136" s="24" t="n">
        <v>157</v>
      </c>
      <c r="F136" s="24" t="n">
        <v>46</v>
      </c>
      <c r="G136" s="24" t="n">
        <v>117</v>
      </c>
      <c r="H136" s="24" t="n">
        <v>7</v>
      </c>
      <c r="I136" s="24" t="n">
        <v>331</v>
      </c>
      <c r="J136" s="26" t="inlineStr">
        <is>
          <t>INC</t>
        </is>
      </c>
      <c r="K136" s="24" t="n">
        <v>104</v>
      </c>
      <c r="L136" s="24" t="n">
        <v>145</v>
      </c>
      <c r="M136" s="24" t="n">
        <v>51</v>
      </c>
      <c r="N136" s="24" t="n">
        <v>8</v>
      </c>
      <c r="O136" s="24" t="n">
        <v>320</v>
      </c>
      <c r="P136" s="26" t="inlineStr">
        <is>
          <t>AAP</t>
        </is>
      </c>
      <c r="Q136" s="27" t="n">
        <v>-0.1493</v>
      </c>
      <c r="R136" s="27" t="n">
        <v>0.3141</v>
      </c>
      <c r="S136" s="27" t="n">
        <v>-0.1941</v>
      </c>
      <c r="T136" s="27" t="n">
        <v>0.0039</v>
      </c>
      <c r="U136" s="24" t="n">
        <v>-11</v>
      </c>
      <c r="V136" s="24" t="n">
        <v>41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49" t="inlineStr">
        <is>
          <t>Flipped (INC → SAD)</t>
        </is>
      </c>
      <c r="E137" s="31" t="n">
        <v>301</v>
      </c>
      <c r="F137" s="31" t="n">
        <v>182</v>
      </c>
      <c r="G137" s="31" t="n">
        <v>245</v>
      </c>
      <c r="H137" s="31" t="n">
        <v>6</v>
      </c>
      <c r="I137" s="31" t="n">
        <v>764</v>
      </c>
      <c r="J137" s="33" t="inlineStr">
        <is>
          <t>INC</t>
        </is>
      </c>
      <c r="K137" s="31" t="n">
        <v>167</v>
      </c>
      <c r="L137" s="31" t="n">
        <v>131</v>
      </c>
      <c r="M137" s="31" t="n">
        <v>185</v>
      </c>
      <c r="N137" s="31" t="n">
        <v>124</v>
      </c>
      <c r="O137" s="31" t="n">
        <v>657</v>
      </c>
      <c r="P137" s="33" t="inlineStr">
        <is>
          <t>SAD</t>
        </is>
      </c>
      <c r="Q137" s="34" t="n">
        <v>-0.1398</v>
      </c>
      <c r="R137" s="34" t="n">
        <v>-0.0388</v>
      </c>
      <c r="S137" s="34" t="n">
        <v>-0.0391</v>
      </c>
      <c r="T137" s="34" t="n">
        <v>0.1808</v>
      </c>
      <c r="U137" s="31" t="n">
        <v>-107</v>
      </c>
      <c r="V137" s="31" t="n">
        <v>18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48" t="inlineStr">
        <is>
          <t>Retained INC</t>
        </is>
      </c>
      <c r="E138" s="24" t="n">
        <v>212</v>
      </c>
      <c r="F138" s="24" t="n">
        <v>206</v>
      </c>
      <c r="G138" s="24" t="n">
        <v>187</v>
      </c>
      <c r="H138" s="24" t="n">
        <v>2</v>
      </c>
      <c r="I138" s="24" t="n">
        <v>639</v>
      </c>
      <c r="J138" s="26" t="inlineStr">
        <is>
          <t>INC</t>
        </is>
      </c>
      <c r="K138" s="24" t="n">
        <v>168</v>
      </c>
      <c r="L138" s="24" t="n">
        <v>92</v>
      </c>
      <c r="M138" s="24" t="n">
        <v>136</v>
      </c>
      <c r="N138" s="24" t="n">
        <v>59</v>
      </c>
      <c r="O138" s="24" t="n">
        <v>494</v>
      </c>
      <c r="P138" s="26" t="inlineStr">
        <is>
          <t>INC</t>
        </is>
      </c>
      <c r="Q138" s="27" t="n">
        <v>0.0083</v>
      </c>
      <c r="R138" s="27" t="n">
        <v>-0.1362</v>
      </c>
      <c r="S138" s="27" t="n">
        <v>-0.0173</v>
      </c>
      <c r="T138" s="27" t="n">
        <v>0.1163</v>
      </c>
      <c r="U138" s="24" t="n">
        <v>-145</v>
      </c>
      <c r="V138" s="24" t="n">
        <v>32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48" t="inlineStr">
        <is>
          <t>Retained AAP</t>
        </is>
      </c>
      <c r="E139" s="31" t="n">
        <v>102</v>
      </c>
      <c r="F139" s="31" t="n">
        <v>235</v>
      </c>
      <c r="G139" s="31" t="n">
        <v>101</v>
      </c>
      <c r="H139" s="31" t="n">
        <v>2</v>
      </c>
      <c r="I139" s="31" t="n">
        <v>461</v>
      </c>
      <c r="J139" s="33" t="inlineStr">
        <is>
          <t>AAP</t>
        </is>
      </c>
      <c r="K139" s="31" t="n">
        <v>91</v>
      </c>
      <c r="L139" s="31" t="n">
        <v>157</v>
      </c>
      <c r="M139" s="31" t="n">
        <v>85</v>
      </c>
      <c r="N139" s="31" t="n">
        <v>12</v>
      </c>
      <c r="O139" s="31" t="n">
        <v>390</v>
      </c>
      <c r="P139" s="33" t="inlineStr">
        <is>
          <t>AAP</t>
        </is>
      </c>
      <c r="Q139" s="34" t="n">
        <v>0.012</v>
      </c>
      <c r="R139" s="34" t="n">
        <v>-0.1072</v>
      </c>
      <c r="S139" s="34" t="n">
        <v>-0.0012</v>
      </c>
      <c r="T139" s="34" t="n">
        <v>0.0265</v>
      </c>
      <c r="U139" s="31" t="n">
        <v>-71</v>
      </c>
      <c r="V139" s="31" t="n">
        <v>66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49" t="inlineStr">
        <is>
          <t>Flipped (INC → AAP)</t>
        </is>
      </c>
      <c r="E140" s="24" t="n">
        <v>218</v>
      </c>
      <c r="F140" s="24" t="n">
        <v>151</v>
      </c>
      <c r="G140" s="24" t="n">
        <v>70</v>
      </c>
      <c r="H140" s="24" t="n">
        <v>3</v>
      </c>
      <c r="I140" s="24" t="n">
        <v>474</v>
      </c>
      <c r="J140" s="26" t="inlineStr">
        <is>
          <t>INC</t>
        </is>
      </c>
      <c r="K140" s="24" t="n">
        <v>125</v>
      </c>
      <c r="L140" s="24" t="n">
        <v>142</v>
      </c>
      <c r="M140" s="24" t="n">
        <v>41</v>
      </c>
      <c r="N140" s="24" t="n">
        <v>50</v>
      </c>
      <c r="O140" s="24" t="n">
        <v>385</v>
      </c>
      <c r="P140" s="26" t="inlineStr">
        <is>
          <t>AAP</t>
        </is>
      </c>
      <c r="Q140" s="27" t="n">
        <v>-0.1352</v>
      </c>
      <c r="R140" s="27" t="n">
        <v>0.05019999999999999</v>
      </c>
      <c r="S140" s="27" t="n">
        <v>-0.0412</v>
      </c>
      <c r="T140" s="27" t="n">
        <v>0.1236</v>
      </c>
      <c r="U140" s="24" t="n">
        <v>-89</v>
      </c>
      <c r="V140" s="24" t="n">
        <v>17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49" t="inlineStr">
        <is>
          <t>Flipped (SAD → INC)</t>
        </is>
      </c>
      <c r="E141" s="31" t="n">
        <v>203</v>
      </c>
      <c r="F141" s="31" t="n">
        <v>235</v>
      </c>
      <c r="G141" s="31" t="n">
        <v>281</v>
      </c>
      <c r="H141" s="31" t="n">
        <v>11</v>
      </c>
      <c r="I141" s="31" t="n">
        <v>756</v>
      </c>
      <c r="J141" s="33" t="inlineStr">
        <is>
          <t>SAD</t>
        </is>
      </c>
      <c r="K141" s="31" t="n">
        <v>166</v>
      </c>
      <c r="L141" s="31" t="n">
        <v>59</v>
      </c>
      <c r="M141" s="31" t="n">
        <v>129</v>
      </c>
      <c r="N141" s="31" t="n">
        <v>134</v>
      </c>
      <c r="O141" s="31" t="n">
        <v>535</v>
      </c>
      <c r="P141" s="33" t="inlineStr">
        <is>
          <t>INC</t>
        </is>
      </c>
      <c r="Q141" s="34" t="n">
        <v>0.0418</v>
      </c>
      <c r="R141" s="34" t="n">
        <v>-0.2005</v>
      </c>
      <c r="S141" s="34" t="n">
        <v>-0.1306</v>
      </c>
      <c r="T141" s="34" t="n">
        <v>0.2359</v>
      </c>
      <c r="U141" s="31" t="n">
        <v>-221</v>
      </c>
      <c r="V141" s="31" t="n">
        <v>32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49" t="inlineStr">
        <is>
          <t>Flipped (SAD → AAP)</t>
        </is>
      </c>
      <c r="E142" s="24" t="n">
        <v>310</v>
      </c>
      <c r="F142" s="24" t="n">
        <v>200</v>
      </c>
      <c r="G142" s="24" t="n">
        <v>325</v>
      </c>
      <c r="H142" s="24" t="n">
        <v>8</v>
      </c>
      <c r="I142" s="24" t="n">
        <v>876</v>
      </c>
      <c r="J142" s="26" t="inlineStr">
        <is>
          <t>SAD</t>
        </is>
      </c>
      <c r="K142" s="24" t="n">
        <v>145</v>
      </c>
      <c r="L142" s="24" t="n">
        <v>203</v>
      </c>
      <c r="M142" s="24" t="n">
        <v>174</v>
      </c>
      <c r="N142" s="24" t="n">
        <v>76</v>
      </c>
      <c r="O142" s="24" t="n">
        <v>697</v>
      </c>
      <c r="P142" s="26" t="inlineStr">
        <is>
          <t>AAP</t>
        </is>
      </c>
      <c r="Q142" s="27" t="n">
        <v>-0.1459</v>
      </c>
      <c r="R142" s="27" t="n">
        <v>0.0629</v>
      </c>
      <c r="S142" s="27" t="n">
        <v>-0.1214</v>
      </c>
      <c r="T142" s="27" t="n">
        <v>0.0999</v>
      </c>
      <c r="U142" s="24" t="n">
        <v>-179</v>
      </c>
      <c r="V142" s="24" t="n">
        <v>29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48" t="inlineStr">
        <is>
          <t>Retained INC</t>
        </is>
      </c>
      <c r="E143" s="31" t="n">
        <v>309</v>
      </c>
      <c r="F143" s="31" t="n">
        <v>172</v>
      </c>
      <c r="G143" s="31" t="n">
        <v>268</v>
      </c>
      <c r="H143" s="31" t="n">
        <v>5</v>
      </c>
      <c r="I143" s="31" t="n">
        <v>778</v>
      </c>
      <c r="J143" s="33" t="inlineStr">
        <is>
          <t>INC</t>
        </is>
      </c>
      <c r="K143" s="31" t="n">
        <v>202</v>
      </c>
      <c r="L143" s="31" t="n">
        <v>126</v>
      </c>
      <c r="M143" s="31" t="n">
        <v>144</v>
      </c>
      <c r="N143" s="31" t="n">
        <v>61</v>
      </c>
      <c r="O143" s="31" t="n">
        <v>594</v>
      </c>
      <c r="P143" s="33" t="inlineStr">
        <is>
          <t>INC</t>
        </is>
      </c>
      <c r="Q143" s="34" t="n">
        <v>-0.0571</v>
      </c>
      <c r="R143" s="34" t="n">
        <v>-0.009000000000000001</v>
      </c>
      <c r="S143" s="34" t="n">
        <v>-0.1021</v>
      </c>
      <c r="T143" s="34" t="n">
        <v>0.09630000000000001</v>
      </c>
      <c r="U143" s="31" t="n">
        <v>-184</v>
      </c>
      <c r="V143" s="31" t="n">
        <v>58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49" t="inlineStr">
        <is>
          <t>Flipped (SAD → INC)</t>
        </is>
      </c>
      <c r="E144" s="24" t="n">
        <v>52</v>
      </c>
      <c r="F144" s="24" t="n">
        <v>50</v>
      </c>
      <c r="G144" s="24" t="n">
        <v>102</v>
      </c>
      <c r="H144" s="24" t="n">
        <v>1</v>
      </c>
      <c r="I144" s="24" t="n">
        <v>210</v>
      </c>
      <c r="J144" s="26" t="inlineStr">
        <is>
          <t>SAD</t>
        </is>
      </c>
      <c r="K144" s="24" t="n">
        <v>91</v>
      </c>
      <c r="L144" s="24" t="n">
        <v>33</v>
      </c>
      <c r="M144" s="24" t="n">
        <v>61</v>
      </c>
      <c r="N144" s="24" t="n">
        <v>3</v>
      </c>
      <c r="O144" s="24" t="n">
        <v>193</v>
      </c>
      <c r="P144" s="26" t="inlineStr">
        <is>
          <t>INC</t>
        </is>
      </c>
      <c r="Q144" s="27" t="n">
        <v>0.2239</v>
      </c>
      <c r="R144" s="27" t="n">
        <v>-0.06709999999999999</v>
      </c>
      <c r="S144" s="27" t="n">
        <v>-0.1696</v>
      </c>
      <c r="T144" s="27" t="n">
        <v>0.0107</v>
      </c>
      <c r="U144" s="24" t="n">
        <v>-17</v>
      </c>
      <c r="V144" s="24" t="n">
        <v>30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49" t="inlineStr">
        <is>
          <t>Flipped (SAD → INC)</t>
        </is>
      </c>
      <c r="E145" s="31" t="n">
        <v>142</v>
      </c>
      <c r="F145" s="31" t="n">
        <v>198</v>
      </c>
      <c r="G145" s="31" t="n">
        <v>236</v>
      </c>
      <c r="H145" s="31" t="n">
        <v>6</v>
      </c>
      <c r="I145" s="31" t="n">
        <v>612</v>
      </c>
      <c r="J145" s="33" t="inlineStr">
        <is>
          <t>SAD</t>
        </is>
      </c>
      <c r="K145" s="31" t="n">
        <v>168</v>
      </c>
      <c r="L145" s="31" t="n">
        <v>139</v>
      </c>
      <c r="M145" s="31" t="n">
        <v>112</v>
      </c>
      <c r="N145" s="31" t="n">
        <v>21</v>
      </c>
      <c r="O145" s="31" t="n">
        <v>507</v>
      </c>
      <c r="P145" s="33" t="inlineStr">
        <is>
          <t>INC</t>
        </is>
      </c>
      <c r="Q145" s="34" t="n">
        <v>0.09939999999999999</v>
      </c>
      <c r="R145" s="34" t="n">
        <v>-0.0493</v>
      </c>
      <c r="S145" s="34" t="n">
        <v>-0.1647</v>
      </c>
      <c r="T145" s="34" t="n">
        <v>0.0316</v>
      </c>
      <c r="U145" s="31" t="n">
        <v>-105</v>
      </c>
      <c r="V145" s="31" t="n">
        <v>29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48" t="inlineStr">
        <is>
          <t>Retained INC</t>
        </is>
      </c>
      <c r="E146" s="24" t="n">
        <v>241</v>
      </c>
      <c r="F146" s="24" t="n">
        <v>176</v>
      </c>
      <c r="G146" s="24" t="n">
        <v>196</v>
      </c>
      <c r="H146" s="24" t="n">
        <v>9</v>
      </c>
      <c r="I146" s="24" t="n">
        <v>642</v>
      </c>
      <c r="J146" s="26" t="inlineStr">
        <is>
          <t>INC</t>
        </is>
      </c>
      <c r="K146" s="24" t="n">
        <v>173</v>
      </c>
      <c r="L146" s="24" t="n">
        <v>132</v>
      </c>
      <c r="M146" s="24" t="n">
        <v>116</v>
      </c>
      <c r="N146" s="24" t="n">
        <v>37</v>
      </c>
      <c r="O146" s="24" t="n">
        <v>492</v>
      </c>
      <c r="P146" s="26" t="inlineStr">
        <is>
          <t>INC</t>
        </is>
      </c>
      <c r="Q146" s="27" t="n">
        <v>-0.0238</v>
      </c>
      <c r="R146" s="27" t="n">
        <v>-0.0058</v>
      </c>
      <c r="S146" s="27" t="n">
        <v>-0.06950000000000001</v>
      </c>
      <c r="T146" s="27" t="n">
        <v>0.0612</v>
      </c>
      <c r="U146" s="24" t="n">
        <v>-150</v>
      </c>
      <c r="V146" s="24" t="n">
        <v>41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48" t="inlineStr">
        <is>
          <t>Retained INC</t>
        </is>
      </c>
      <c r="E147" s="31" t="n">
        <v>233</v>
      </c>
      <c r="F147" s="31" t="n">
        <v>198</v>
      </c>
      <c r="G147" s="31" t="n">
        <v>164</v>
      </c>
      <c r="H147" s="31" t="n">
        <v>3</v>
      </c>
      <c r="I147" s="31" t="n">
        <v>635</v>
      </c>
      <c r="J147" s="33" t="inlineStr">
        <is>
          <t>INC</t>
        </is>
      </c>
      <c r="K147" s="31" t="n">
        <v>164</v>
      </c>
      <c r="L147" s="31" t="n">
        <v>139</v>
      </c>
      <c r="M147" s="31" t="n">
        <v>110</v>
      </c>
      <c r="N147" s="31" t="n">
        <v>24</v>
      </c>
      <c r="O147" s="31" t="n">
        <v>498</v>
      </c>
      <c r="P147" s="33" t="inlineStr">
        <is>
          <t>INC</t>
        </is>
      </c>
      <c r="Q147" s="34" t="n">
        <v>-0.03759999999999999</v>
      </c>
      <c r="R147" s="34" t="n">
        <v>-0.0327</v>
      </c>
      <c r="S147" s="34" t="n">
        <v>-0.0374</v>
      </c>
      <c r="T147" s="34" t="n">
        <v>0.0435</v>
      </c>
      <c r="U147" s="31" t="n">
        <v>-137</v>
      </c>
      <c r="V147" s="31" t="n">
        <v>25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48" t="inlineStr">
        <is>
          <t>Retained INC</t>
        </is>
      </c>
      <c r="E148" s="24" t="n">
        <v>272</v>
      </c>
      <c r="F148" s="24" t="n">
        <v>113</v>
      </c>
      <c r="G148" s="24" t="n">
        <v>177</v>
      </c>
      <c r="H148" s="24" t="n">
        <v>4</v>
      </c>
      <c r="I148" s="24" t="n">
        <v>581</v>
      </c>
      <c r="J148" s="26" t="inlineStr">
        <is>
          <t>INC</t>
        </is>
      </c>
      <c r="K148" s="24" t="n">
        <v>257</v>
      </c>
      <c r="L148" s="24" t="n">
        <v>98</v>
      </c>
      <c r="M148" s="24" t="n">
        <v>74</v>
      </c>
      <c r="N148" s="24" t="n">
        <v>14</v>
      </c>
      <c r="O148" s="24" t="n">
        <v>474</v>
      </c>
      <c r="P148" s="26" t="inlineStr">
        <is>
          <t>INC</t>
        </is>
      </c>
      <c r="Q148" s="27" t="n">
        <v>0.07400000000000001</v>
      </c>
      <c r="R148" s="27" t="n">
        <v>0.0123</v>
      </c>
      <c r="S148" s="27" t="n">
        <v>-0.1485</v>
      </c>
      <c r="T148" s="27" t="n">
        <v>0.0226</v>
      </c>
      <c r="U148" s="24" t="n">
        <v>-107</v>
      </c>
      <c r="V148" s="24" t="n">
        <v>159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48" t="inlineStr">
        <is>
          <t>Retained INC</t>
        </is>
      </c>
      <c r="E149" s="31" t="n">
        <v>268</v>
      </c>
      <c r="F149" s="31" t="n">
        <v>103</v>
      </c>
      <c r="G149" s="31" t="n">
        <v>130</v>
      </c>
      <c r="H149" s="31" t="n">
        <v>4</v>
      </c>
      <c r="I149" s="31" t="n">
        <v>524</v>
      </c>
      <c r="J149" s="33" t="inlineStr">
        <is>
          <t>INC</t>
        </is>
      </c>
      <c r="K149" s="31" t="n">
        <v>156</v>
      </c>
      <c r="L149" s="31" t="n">
        <v>123</v>
      </c>
      <c r="M149" s="31" t="n">
        <v>47</v>
      </c>
      <c r="N149" s="31" t="n">
        <v>40</v>
      </c>
      <c r="O149" s="31" t="n">
        <v>404</v>
      </c>
      <c r="P149" s="33" t="inlineStr">
        <is>
          <t>INC</t>
        </is>
      </c>
      <c r="Q149" s="34" t="n">
        <v>-0.1254</v>
      </c>
      <c r="R149" s="34" t="n">
        <v>0.1079</v>
      </c>
      <c r="S149" s="34" t="n">
        <v>-0.1318</v>
      </c>
      <c r="T149" s="34" t="n">
        <v>0.09140000000000001</v>
      </c>
      <c r="U149" s="31" t="n">
        <v>-120</v>
      </c>
      <c r="V149" s="31" t="n">
        <v>33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49" t="inlineStr">
        <is>
          <t>Flipped (INC → SAD)</t>
        </is>
      </c>
      <c r="E150" s="24" t="n">
        <v>292</v>
      </c>
      <c r="F150" s="24" t="n">
        <v>93</v>
      </c>
      <c r="G150" s="24" t="n">
        <v>204</v>
      </c>
      <c r="H150" s="24" t="n">
        <v>2</v>
      </c>
      <c r="I150" s="24" t="n">
        <v>607</v>
      </c>
      <c r="J150" s="26" t="inlineStr">
        <is>
          <t>INC</t>
        </is>
      </c>
      <c r="K150" s="24" t="n">
        <v>122</v>
      </c>
      <c r="L150" s="24" t="n">
        <v>140</v>
      </c>
      <c r="M150" s="24" t="n">
        <v>174</v>
      </c>
      <c r="N150" s="24" t="n">
        <v>41</v>
      </c>
      <c r="O150" s="24" t="n">
        <v>517</v>
      </c>
      <c r="P150" s="26" t="inlineStr">
        <is>
          <t>SAD</t>
        </is>
      </c>
      <c r="Q150" s="27" t="n">
        <v>-0.2451</v>
      </c>
      <c r="R150" s="27" t="n">
        <v>0.1176</v>
      </c>
      <c r="S150" s="27" t="n">
        <v>0.0005</v>
      </c>
      <c r="T150" s="27" t="n">
        <v>0.076</v>
      </c>
      <c r="U150" s="24" t="n">
        <v>-90</v>
      </c>
      <c r="V150" s="24" t="n">
        <v>34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49" t="inlineStr">
        <is>
          <t>Flipped (SAD → INC)</t>
        </is>
      </c>
      <c r="E151" s="31" t="n">
        <v>183</v>
      </c>
      <c r="F151" s="31" t="n">
        <v>137</v>
      </c>
      <c r="G151" s="31" t="n">
        <v>230</v>
      </c>
      <c r="H151" s="31" t="n">
        <v>6</v>
      </c>
      <c r="I151" s="31" t="n">
        <v>568</v>
      </c>
      <c r="J151" s="33" t="inlineStr">
        <is>
          <t>SAD</t>
        </is>
      </c>
      <c r="K151" s="31" t="n">
        <v>126</v>
      </c>
      <c r="L151" s="31" t="n">
        <v>116</v>
      </c>
      <c r="M151" s="31" t="n">
        <v>106</v>
      </c>
      <c r="N151" s="31" t="n">
        <v>17</v>
      </c>
      <c r="O151" s="31" t="n">
        <v>437</v>
      </c>
      <c r="P151" s="33" t="inlineStr">
        <is>
          <t>INC</t>
        </is>
      </c>
      <c r="Q151" s="34" t="n">
        <v>-0.0339</v>
      </c>
      <c r="R151" s="34" t="n">
        <v>0.0242</v>
      </c>
      <c r="S151" s="34" t="n">
        <v>-0.1623</v>
      </c>
      <c r="T151" s="34" t="n">
        <v>0.0283</v>
      </c>
      <c r="U151" s="31" t="n">
        <v>-131</v>
      </c>
      <c r="V151" s="31" t="n">
        <v>10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49" t="inlineStr">
        <is>
          <t>Flipped (SAD → AAP)</t>
        </is>
      </c>
      <c r="E152" s="24" t="n">
        <v>170</v>
      </c>
      <c r="F152" s="24" t="n">
        <v>228</v>
      </c>
      <c r="G152" s="24" t="n">
        <v>348</v>
      </c>
      <c r="H152" s="24" t="n">
        <v>6</v>
      </c>
      <c r="I152" s="24" t="n">
        <v>787</v>
      </c>
      <c r="J152" s="26" t="inlineStr">
        <is>
          <t>SAD</t>
        </is>
      </c>
      <c r="K152" s="24" t="n">
        <v>102</v>
      </c>
      <c r="L152" s="24" t="n">
        <v>289</v>
      </c>
      <c r="M152" s="24" t="n">
        <v>106</v>
      </c>
      <c r="N152" s="24" t="n">
        <v>19</v>
      </c>
      <c r="O152" s="24" t="n">
        <v>720</v>
      </c>
      <c r="P152" s="26" t="inlineStr">
        <is>
          <t>AAP</t>
        </is>
      </c>
      <c r="Q152" s="27" t="n">
        <v>-0.07429999999999999</v>
      </c>
      <c r="R152" s="27" t="n">
        <v>0.1117</v>
      </c>
      <c r="S152" s="27" t="n">
        <v>-0.295</v>
      </c>
      <c r="T152" s="27" t="n">
        <v>0.0188</v>
      </c>
      <c r="U152" s="24" t="n">
        <v>-67</v>
      </c>
      <c r="V152" s="24" t="n">
        <v>134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49" t="inlineStr">
        <is>
          <t>Flipped (INC → SAD-A)</t>
        </is>
      </c>
      <c r="E153" s="31" t="n">
        <v>240</v>
      </c>
      <c r="F153" s="31" t="n">
        <v>213</v>
      </c>
      <c r="G153" s="31" t="n">
        <v>210</v>
      </c>
      <c r="H153" s="31" t="n">
        <v>9</v>
      </c>
      <c r="I153" s="31" t="n">
        <v>699</v>
      </c>
      <c r="J153" s="33" t="inlineStr">
        <is>
          <t>INC</t>
        </is>
      </c>
      <c r="K153" s="31" t="n">
        <v>101</v>
      </c>
      <c r="L153" s="31" t="n">
        <v>155</v>
      </c>
      <c r="M153" s="31" t="n">
        <v>77</v>
      </c>
      <c r="N153" s="31" t="n">
        <v>40</v>
      </c>
      <c r="O153" s="31" t="n">
        <v>592</v>
      </c>
      <c r="P153" s="33" t="inlineStr">
        <is>
          <t>SAD-A</t>
        </is>
      </c>
      <c r="Q153" s="34" t="n">
        <v>-0.1727</v>
      </c>
      <c r="R153" s="34" t="n">
        <v>-0.0429</v>
      </c>
      <c r="S153" s="34" t="n">
        <v>-0.1703</v>
      </c>
      <c r="T153" s="34" t="n">
        <v>0.0547</v>
      </c>
      <c r="U153" s="31" t="n">
        <v>-107</v>
      </c>
      <c r="V153" s="31" t="n">
        <v>17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49" t="inlineStr">
        <is>
          <t>Flipped (INC → AAP)</t>
        </is>
      </c>
      <c r="E154" s="24" t="n">
        <v>272</v>
      </c>
      <c r="F154" s="24" t="n">
        <v>191</v>
      </c>
      <c r="G154" s="24" t="n">
        <v>171</v>
      </c>
      <c r="H154" s="24" t="n">
        <v>11</v>
      </c>
      <c r="I154" s="24" t="n">
        <v>665</v>
      </c>
      <c r="J154" s="26" t="inlineStr">
        <is>
          <t>INC</t>
        </is>
      </c>
      <c r="K154" s="24" t="n">
        <v>77</v>
      </c>
      <c r="L154" s="24" t="n">
        <v>206</v>
      </c>
      <c r="M154" s="24" t="n">
        <v>72</v>
      </c>
      <c r="N154" s="24" t="n">
        <v>123</v>
      </c>
      <c r="O154" s="24" t="n">
        <v>626</v>
      </c>
      <c r="P154" s="26" t="inlineStr">
        <is>
          <t>AAP</t>
        </is>
      </c>
      <c r="Q154" s="27" t="n">
        <v>-0.286</v>
      </c>
      <c r="R154" s="27" t="n">
        <v>0.04190000000000001</v>
      </c>
      <c r="S154" s="27" t="n">
        <v>-0.1421</v>
      </c>
      <c r="T154" s="27" t="n">
        <v>0.18</v>
      </c>
      <c r="U154" s="24" t="n">
        <v>-39</v>
      </c>
      <c r="V154" s="24" t="n">
        <v>83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48" t="inlineStr">
        <is>
          <t>Retained INC</t>
        </is>
      </c>
      <c r="E155" s="31" t="n">
        <v>365</v>
      </c>
      <c r="F155" s="31" t="n">
        <v>196</v>
      </c>
      <c r="G155" s="31" t="n">
        <v>142</v>
      </c>
      <c r="H155" s="31" t="n">
        <v>4</v>
      </c>
      <c r="I155" s="31" t="n">
        <v>726</v>
      </c>
      <c r="J155" s="33" t="inlineStr">
        <is>
          <t>INC</t>
        </is>
      </c>
      <c r="K155" s="31" t="n">
        <v>315</v>
      </c>
      <c r="L155" s="31" t="n">
        <v>69</v>
      </c>
      <c r="M155" s="31" t="n">
        <v>135</v>
      </c>
      <c r="N155" s="31" t="n">
        <v>51</v>
      </c>
      <c r="O155" s="31" t="n">
        <v>608</v>
      </c>
      <c r="P155" s="33" t="inlineStr">
        <is>
          <t>INC</t>
        </is>
      </c>
      <c r="Q155" s="34" t="n">
        <v>0.0153</v>
      </c>
      <c r="R155" s="34" t="n">
        <v>-0.1565</v>
      </c>
      <c r="S155" s="34" t="n">
        <v>0.0264</v>
      </c>
      <c r="T155" s="34" t="n">
        <v>0.0784</v>
      </c>
      <c r="U155" s="31" t="n">
        <v>-118</v>
      </c>
      <c r="V155" s="31" t="n">
        <v>180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48" t="inlineStr">
        <is>
          <t>Retained INC</t>
        </is>
      </c>
      <c r="E156" s="24" t="n">
        <v>339</v>
      </c>
      <c r="F156" s="24" t="n">
        <v>199</v>
      </c>
      <c r="G156" s="24" t="n">
        <v>242</v>
      </c>
      <c r="H156" s="24" t="n">
        <v>10</v>
      </c>
      <c r="I156" s="24" t="n">
        <v>817</v>
      </c>
      <c r="J156" s="26" t="inlineStr">
        <is>
          <t>INC</t>
        </is>
      </c>
      <c r="K156" s="24" t="n">
        <v>228</v>
      </c>
      <c r="L156" s="24" t="n">
        <v>69</v>
      </c>
      <c r="M156" s="24" t="n">
        <v>144</v>
      </c>
      <c r="N156" s="24" t="n">
        <v>175</v>
      </c>
      <c r="O156" s="24" t="n">
        <v>677</v>
      </c>
      <c r="P156" s="26" t="inlineStr">
        <is>
          <t>INC</t>
        </is>
      </c>
      <c r="Q156" s="27" t="n">
        <v>-0.0781</v>
      </c>
      <c r="R156" s="27" t="n">
        <v>-0.1417</v>
      </c>
      <c r="S156" s="27" t="n">
        <v>-0.08349999999999999</v>
      </c>
      <c r="T156" s="27" t="n">
        <v>0.2463</v>
      </c>
      <c r="U156" s="24" t="n">
        <v>-140</v>
      </c>
      <c r="V156" s="24" t="n">
        <v>53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49" t="inlineStr">
        <is>
          <t>Flipped (AAP → INC)</t>
        </is>
      </c>
      <c r="E157" s="31" t="n">
        <v>154</v>
      </c>
      <c r="F157" s="31" t="n">
        <v>269</v>
      </c>
      <c r="G157" s="31" t="n">
        <v>224</v>
      </c>
      <c r="H157" s="31" t="n">
        <v>1</v>
      </c>
      <c r="I157" s="31" t="n">
        <v>680</v>
      </c>
      <c r="J157" s="33" t="inlineStr">
        <is>
          <t>AAP</t>
        </is>
      </c>
      <c r="K157" s="31" t="n">
        <v>189</v>
      </c>
      <c r="L157" s="31" t="n">
        <v>142</v>
      </c>
      <c r="M157" s="31" t="n">
        <v>127</v>
      </c>
      <c r="N157" s="31" t="n">
        <v>7</v>
      </c>
      <c r="O157" s="31" t="n">
        <v>519</v>
      </c>
      <c r="P157" s="33" t="inlineStr">
        <is>
          <t>INC</t>
        </is>
      </c>
      <c r="Q157" s="34" t="n">
        <v>0.1377</v>
      </c>
      <c r="R157" s="34" t="n">
        <v>-0.122</v>
      </c>
      <c r="S157" s="34" t="n">
        <v>-0.08470000000000001</v>
      </c>
      <c r="T157" s="34" t="n">
        <v>0.012</v>
      </c>
      <c r="U157" s="31" t="n">
        <v>-161</v>
      </c>
      <c r="V157" s="31" t="n">
        <v>47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49" t="inlineStr">
        <is>
          <t>Flipped (AAP → SAD)</t>
        </is>
      </c>
      <c r="E158" s="24" t="n">
        <v>178</v>
      </c>
      <c r="F158" s="24" t="n">
        <v>309</v>
      </c>
      <c r="G158" s="24" t="n">
        <v>236</v>
      </c>
      <c r="H158" s="24" t="n">
        <v>7</v>
      </c>
      <c r="I158" s="24" t="n">
        <v>772</v>
      </c>
      <c r="J158" s="26" t="inlineStr">
        <is>
          <t>AAP</t>
        </is>
      </c>
      <c r="K158" s="24" t="n">
        <v>184</v>
      </c>
      <c r="L158" s="24" t="n">
        <v>147</v>
      </c>
      <c r="M158" s="24" t="n">
        <v>187</v>
      </c>
      <c r="N158" s="24" t="n">
        <v>8</v>
      </c>
      <c r="O158" s="24" t="n">
        <v>593</v>
      </c>
      <c r="P158" s="26" t="inlineStr">
        <is>
          <t>SAD</t>
        </is>
      </c>
      <c r="Q158" s="27" t="n">
        <v>0.07969999999999999</v>
      </c>
      <c r="R158" s="27" t="n">
        <v>-0.1524</v>
      </c>
      <c r="S158" s="27" t="n">
        <v>0.009599999999999999</v>
      </c>
      <c r="T158" s="27" t="n">
        <v>0.0044</v>
      </c>
      <c r="U158" s="24" t="n">
        <v>-179</v>
      </c>
      <c r="V158" s="24" t="n">
        <v>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49" t="inlineStr">
        <is>
          <t>Flipped (INC → AAP)</t>
        </is>
      </c>
      <c r="E159" s="31" t="n">
        <v>309</v>
      </c>
      <c r="F159" s="31" t="n">
        <v>88</v>
      </c>
      <c r="G159" s="31" t="n">
        <v>127</v>
      </c>
      <c r="H159" s="31" t="n">
        <v>6</v>
      </c>
      <c r="I159" s="31" t="n">
        <v>547</v>
      </c>
      <c r="J159" s="33" t="inlineStr">
        <is>
          <t>INC</t>
        </is>
      </c>
      <c r="K159" s="31" t="n">
        <v>154</v>
      </c>
      <c r="L159" s="31" t="n">
        <v>237</v>
      </c>
      <c r="M159" s="31" t="n">
        <v>54</v>
      </c>
      <c r="N159" s="31" t="n">
        <v>10</v>
      </c>
      <c r="O159" s="31" t="n">
        <v>479</v>
      </c>
      <c r="P159" s="33" t="inlineStr">
        <is>
          <t>AAP</t>
        </is>
      </c>
      <c r="Q159" s="34" t="n">
        <v>-0.2434</v>
      </c>
      <c r="R159" s="34" t="n">
        <v>0.3339</v>
      </c>
      <c r="S159" s="34" t="n">
        <v>-0.1195</v>
      </c>
      <c r="T159" s="34" t="n">
        <v>0.009899999999999999</v>
      </c>
      <c r="U159" s="31" t="n">
        <v>-68</v>
      </c>
      <c r="V159" s="31" t="n">
        <v>83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48" t="inlineStr">
        <is>
          <t>Retained INC</t>
        </is>
      </c>
      <c r="E160" s="24" t="n">
        <v>232</v>
      </c>
      <c r="F160" s="24" t="n">
        <v>50</v>
      </c>
      <c r="G160" s="24" t="n">
        <v>139</v>
      </c>
      <c r="H160" s="24" t="n">
        <v>0</v>
      </c>
      <c r="I160" s="24" t="n">
        <v>432</v>
      </c>
      <c r="J160" s="26" t="inlineStr">
        <is>
          <t>INC</t>
        </is>
      </c>
      <c r="K160" s="24" t="n">
        <v>197</v>
      </c>
      <c r="L160" s="24" t="n">
        <v>77</v>
      </c>
      <c r="M160" s="24" t="n">
        <v>77</v>
      </c>
      <c r="N160" s="24" t="n">
        <v>8</v>
      </c>
      <c r="O160" s="24" t="n">
        <v>379</v>
      </c>
      <c r="P160" s="26" t="inlineStr">
        <is>
          <t>INC</t>
        </is>
      </c>
      <c r="Q160" s="27" t="n">
        <v>-0.0172</v>
      </c>
      <c r="R160" s="27" t="n">
        <v>0.08749999999999999</v>
      </c>
      <c r="S160" s="27" t="n">
        <v>-0.1186</v>
      </c>
      <c r="T160" s="27" t="n">
        <v>0.0211</v>
      </c>
      <c r="U160" s="24" t="n">
        <v>-53</v>
      </c>
      <c r="V160" s="24" t="n">
        <v>120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49" t="inlineStr">
        <is>
          <t>Flipped (INC → AAP)</t>
        </is>
      </c>
      <c r="E161" s="31" t="n">
        <v>348</v>
      </c>
      <c r="F161" s="31" t="n">
        <v>151</v>
      </c>
      <c r="G161" s="31" t="n">
        <v>200</v>
      </c>
      <c r="H161" s="31" t="n">
        <v>7</v>
      </c>
      <c r="I161" s="31" t="n">
        <v>730</v>
      </c>
      <c r="J161" s="33" t="inlineStr">
        <is>
          <t>INC</t>
        </is>
      </c>
      <c r="K161" s="31" t="n">
        <v>166</v>
      </c>
      <c r="L161" s="31" t="n">
        <v>272</v>
      </c>
      <c r="M161" s="31" t="n">
        <v>107</v>
      </c>
      <c r="N161" s="31" t="n">
        <v>12</v>
      </c>
      <c r="O161" s="31" t="n">
        <v>590</v>
      </c>
      <c r="P161" s="33" t="inlineStr">
        <is>
          <t>AAP</t>
        </is>
      </c>
      <c r="Q161" s="34" t="n">
        <v>-0.1953</v>
      </c>
      <c r="R161" s="34" t="n">
        <v>0.2542</v>
      </c>
      <c r="S161" s="34" t="n">
        <v>-0.0926</v>
      </c>
      <c r="T161" s="34" t="n">
        <v>0.0107</v>
      </c>
      <c r="U161" s="31" t="n">
        <v>-140</v>
      </c>
      <c r="V161" s="31" t="n">
        <v>106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49" t="inlineStr">
        <is>
          <t>Flipped (SAD → AAP)</t>
        </is>
      </c>
      <c r="E162" s="24" t="n">
        <v>116</v>
      </c>
      <c r="F162" s="24" t="n">
        <v>118</v>
      </c>
      <c r="G162" s="24" t="n">
        <v>139</v>
      </c>
      <c r="H162" s="24" t="n">
        <v>0</v>
      </c>
      <c r="I162" s="24" t="n">
        <v>381</v>
      </c>
      <c r="J162" s="26" t="inlineStr">
        <is>
          <t>SAD</t>
        </is>
      </c>
      <c r="K162" s="24" t="n">
        <v>70</v>
      </c>
      <c r="L162" s="24" t="n">
        <v>119</v>
      </c>
      <c r="M162" s="24" t="n">
        <v>74</v>
      </c>
      <c r="N162" s="24" t="n">
        <v>11</v>
      </c>
      <c r="O162" s="24" t="n">
        <v>298</v>
      </c>
      <c r="P162" s="26" t="inlineStr">
        <is>
          <t>AAP</t>
        </is>
      </c>
      <c r="Q162" s="27" t="n">
        <v>-0.0696</v>
      </c>
      <c r="R162" s="27" t="n">
        <v>0.08960000000000001</v>
      </c>
      <c r="S162" s="27" t="n">
        <v>-0.1165</v>
      </c>
      <c r="T162" s="27" t="n">
        <v>0.0369</v>
      </c>
      <c r="U162" s="24" t="n">
        <v>-83</v>
      </c>
      <c r="V162" s="24" t="n">
        <v>45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48" t="inlineStr">
        <is>
          <t>Retained INC</t>
        </is>
      </c>
      <c r="E163" s="31" t="n">
        <v>244</v>
      </c>
      <c r="F163" s="31" t="n">
        <v>92</v>
      </c>
      <c r="G163" s="31" t="n">
        <v>103</v>
      </c>
      <c r="H163" s="31" t="n">
        <v>7</v>
      </c>
      <c r="I163" s="31" t="n">
        <v>459</v>
      </c>
      <c r="J163" s="33" t="inlineStr">
        <is>
          <t>INC</t>
        </is>
      </c>
      <c r="K163" s="31" t="n">
        <v>168</v>
      </c>
      <c r="L163" s="31" t="n">
        <v>154</v>
      </c>
      <c r="M163" s="31" t="n">
        <v>24</v>
      </c>
      <c r="N163" s="31" t="n">
        <v>36</v>
      </c>
      <c r="O163" s="31" t="n">
        <v>402</v>
      </c>
      <c r="P163" s="33" t="inlineStr">
        <is>
          <t>INC</t>
        </is>
      </c>
      <c r="Q163" s="34" t="n">
        <v>-0.1137</v>
      </c>
      <c r="R163" s="34" t="n">
        <v>0.1827</v>
      </c>
      <c r="S163" s="34" t="n">
        <v>-0.1647</v>
      </c>
      <c r="T163" s="34" t="n">
        <v>0.07429999999999999</v>
      </c>
      <c r="U163" s="31" t="n">
        <v>-57</v>
      </c>
      <c r="V163" s="31" t="n">
        <v>14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49" t="inlineStr">
        <is>
          <t>Flipped (SAD → INC)</t>
        </is>
      </c>
      <c r="E164" s="24" t="n">
        <v>279</v>
      </c>
      <c r="F164" s="24" t="n">
        <v>240</v>
      </c>
      <c r="G164" s="24" t="n">
        <v>283</v>
      </c>
      <c r="H164" s="24" t="n">
        <v>4</v>
      </c>
      <c r="I164" s="24" t="n">
        <v>829</v>
      </c>
      <c r="J164" s="26" t="inlineStr">
        <is>
          <t>SAD</t>
        </is>
      </c>
      <c r="K164" s="24" t="n">
        <v>295</v>
      </c>
      <c r="L164" s="24" t="n">
        <v>234</v>
      </c>
      <c r="M164" s="24" t="n">
        <v>128</v>
      </c>
      <c r="N164" s="24" t="n">
        <v>27</v>
      </c>
      <c r="O164" s="24" t="n">
        <v>748</v>
      </c>
      <c r="P164" s="26" t="inlineStr">
        <is>
          <t>INC</t>
        </is>
      </c>
      <c r="Q164" s="27" t="n">
        <v>0.0578</v>
      </c>
      <c r="R164" s="27" t="n">
        <v>0.0233</v>
      </c>
      <c r="S164" s="27" t="n">
        <v>-0.1703</v>
      </c>
      <c r="T164" s="27" t="n">
        <v>0.0313</v>
      </c>
      <c r="U164" s="24" t="n">
        <v>-81</v>
      </c>
      <c r="V164" s="24" t="n">
        <v>61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49" t="inlineStr">
        <is>
          <t>Flipped (AAP → INC)</t>
        </is>
      </c>
      <c r="E165" s="31" t="n">
        <v>218</v>
      </c>
      <c r="F165" s="31" t="n">
        <v>302</v>
      </c>
      <c r="G165" s="31" t="n">
        <v>205</v>
      </c>
      <c r="H165" s="31" t="n">
        <v>4</v>
      </c>
      <c r="I165" s="31" t="n">
        <v>758</v>
      </c>
      <c r="J165" s="33" t="inlineStr">
        <is>
          <t>AAP</t>
        </is>
      </c>
      <c r="K165" s="31" t="n">
        <v>228</v>
      </c>
      <c r="L165" s="31" t="n">
        <v>75</v>
      </c>
      <c r="M165" s="31" t="n">
        <v>97</v>
      </c>
      <c r="N165" s="31" t="n">
        <v>29</v>
      </c>
      <c r="O165" s="31" t="n">
        <v>524</v>
      </c>
      <c r="P165" s="33" t="inlineStr">
        <is>
          <t>INC</t>
        </is>
      </c>
      <c r="Q165" s="34" t="n">
        <v>0.1475</v>
      </c>
      <c r="R165" s="34" t="n">
        <v>-0.2553</v>
      </c>
      <c r="S165" s="34" t="n">
        <v>-0.08529999999999999</v>
      </c>
      <c r="T165" s="34" t="n">
        <v>0.05</v>
      </c>
      <c r="U165" s="31" t="n">
        <v>-234</v>
      </c>
      <c r="V165" s="31" t="n">
        <v>131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49" t="inlineStr">
        <is>
          <t>Flipped (AAP → INC)</t>
        </is>
      </c>
      <c r="E166" s="24" t="n">
        <v>211</v>
      </c>
      <c r="F166" s="24" t="n">
        <v>276</v>
      </c>
      <c r="G166" s="24" t="n">
        <v>128</v>
      </c>
      <c r="H166" s="24" t="n">
        <v>6</v>
      </c>
      <c r="I166" s="24" t="n">
        <v>654</v>
      </c>
      <c r="J166" s="26" t="inlineStr">
        <is>
          <t>AAP</t>
        </is>
      </c>
      <c r="K166" s="24" t="n">
        <v>254</v>
      </c>
      <c r="L166" s="24" t="n">
        <v>49</v>
      </c>
      <c r="M166" s="24" t="n">
        <v>62</v>
      </c>
      <c r="N166" s="24" t="n">
        <v>34</v>
      </c>
      <c r="O166" s="24" t="n">
        <v>458</v>
      </c>
      <c r="P166" s="26" t="inlineStr">
        <is>
          <t>INC</t>
        </is>
      </c>
      <c r="Q166" s="27" t="n">
        <v>0.232</v>
      </c>
      <c r="R166" s="27" t="n">
        <v>-0.315</v>
      </c>
      <c r="S166" s="27" t="n">
        <v>-0.0603</v>
      </c>
      <c r="T166" s="27" t="n">
        <v>0.065</v>
      </c>
      <c r="U166" s="24" t="n">
        <v>-196</v>
      </c>
      <c r="V166" s="24" t="n">
        <v>192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49" t="inlineStr">
        <is>
          <t>Flipped (AAP → INC)</t>
        </is>
      </c>
      <c r="E167" s="31" t="n">
        <v>222</v>
      </c>
      <c r="F167" s="31" t="n">
        <v>322</v>
      </c>
      <c r="G167" s="31" t="n">
        <v>183</v>
      </c>
      <c r="H167" s="31" t="n">
        <v>13</v>
      </c>
      <c r="I167" s="31" t="n">
        <v>771</v>
      </c>
      <c r="J167" s="33" t="inlineStr">
        <is>
          <t>AAP</t>
        </is>
      </c>
      <c r="K167" s="31" t="n">
        <v>255</v>
      </c>
      <c r="L167" s="31" t="n">
        <v>67</v>
      </c>
      <c r="M167" s="31" t="n">
        <v>91</v>
      </c>
      <c r="N167" s="31" t="n">
        <v>30</v>
      </c>
      <c r="O167" s="31" t="n">
        <v>529</v>
      </c>
      <c r="P167" s="33" t="inlineStr">
        <is>
          <t>INC</t>
        </is>
      </c>
      <c r="Q167" s="34" t="n">
        <v>0.1941</v>
      </c>
      <c r="R167" s="34" t="n">
        <v>-0.2909</v>
      </c>
      <c r="S167" s="34" t="n">
        <v>-0.0654</v>
      </c>
      <c r="T167" s="34" t="n">
        <v>0.0398</v>
      </c>
      <c r="U167" s="31" t="n">
        <v>-242</v>
      </c>
      <c r="V167" s="31" t="n">
        <v>164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49" t="inlineStr">
        <is>
          <t>Flipped (AAP → INC)</t>
        </is>
      </c>
      <c r="E168" s="24" t="n">
        <v>237</v>
      </c>
      <c r="F168" s="24" t="n">
        <v>393</v>
      </c>
      <c r="G168" s="24" t="n">
        <v>174</v>
      </c>
      <c r="H168" s="24" t="n">
        <v>14</v>
      </c>
      <c r="I168" s="24" t="n">
        <v>852</v>
      </c>
      <c r="J168" s="26" t="inlineStr">
        <is>
          <t>AAP</t>
        </is>
      </c>
      <c r="K168" s="24" t="n">
        <v>246</v>
      </c>
      <c r="L168" s="24" t="n">
        <v>110</v>
      </c>
      <c r="M168" s="24" t="n">
        <v>71</v>
      </c>
      <c r="N168" s="24" t="n">
        <v>11</v>
      </c>
      <c r="O168" s="24" t="n">
        <v>565</v>
      </c>
      <c r="P168" s="26" t="inlineStr">
        <is>
          <t>INC</t>
        </is>
      </c>
      <c r="Q168" s="27" t="n">
        <v>0.1572</v>
      </c>
      <c r="R168" s="27" t="n">
        <v>-0.2666</v>
      </c>
      <c r="S168" s="27" t="n">
        <v>-0.0785</v>
      </c>
      <c r="T168" s="27" t="n">
        <v>0.0031</v>
      </c>
      <c r="U168" s="24" t="n">
        <v>-287</v>
      </c>
      <c r="V168" s="24" t="n">
        <v>136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48" t="inlineStr">
        <is>
          <t>Retained SAD</t>
        </is>
      </c>
      <c r="E169" s="31" t="n">
        <v>221</v>
      </c>
      <c r="F169" s="31" t="n">
        <v>77</v>
      </c>
      <c r="G169" s="31" t="n">
        <v>227</v>
      </c>
      <c r="H169" s="31" t="n">
        <v>10</v>
      </c>
      <c r="I169" s="31" t="n">
        <v>549</v>
      </c>
      <c r="J169" s="33" t="inlineStr">
        <is>
          <t>SAD</t>
        </is>
      </c>
      <c r="K169" s="31" t="n">
        <v>139</v>
      </c>
      <c r="L169" s="31" t="n">
        <v>57</v>
      </c>
      <c r="M169" s="31" t="n">
        <v>219</v>
      </c>
      <c r="N169" s="31" t="n">
        <v>44</v>
      </c>
      <c r="O169" s="31" t="n">
        <v>505</v>
      </c>
      <c r="P169" s="33" t="inlineStr">
        <is>
          <t>SAD</t>
        </is>
      </c>
      <c r="Q169" s="34" t="n">
        <v>-0.1274</v>
      </c>
      <c r="R169" s="34" t="n">
        <v>-0.0274</v>
      </c>
      <c r="S169" s="34" t="n">
        <v>0.0202</v>
      </c>
      <c r="T169" s="34" t="n">
        <v>0.0689</v>
      </c>
      <c r="U169" s="31" t="n">
        <v>-44</v>
      </c>
      <c r="V169" s="31" t="n">
        <v>80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48" t="inlineStr">
        <is>
          <t>Retained INC</t>
        </is>
      </c>
      <c r="E170" s="24" t="n">
        <v>273</v>
      </c>
      <c r="F170" s="24" t="n">
        <v>123</v>
      </c>
      <c r="G170" s="24" t="n">
        <v>198</v>
      </c>
      <c r="H170" s="24" t="n">
        <v>3</v>
      </c>
      <c r="I170" s="24" t="n">
        <v>614</v>
      </c>
      <c r="J170" s="26" t="inlineStr">
        <is>
          <t>INC</t>
        </is>
      </c>
      <c r="K170" s="24" t="n">
        <v>211</v>
      </c>
      <c r="L170" s="24" t="n">
        <v>85</v>
      </c>
      <c r="M170" s="24" t="n">
        <v>204</v>
      </c>
      <c r="N170" s="24" t="n">
        <v>20</v>
      </c>
      <c r="O170" s="24" t="n">
        <v>563</v>
      </c>
      <c r="P170" s="26" t="inlineStr">
        <is>
          <t>INC</t>
        </is>
      </c>
      <c r="Q170" s="27" t="n">
        <v>-0.0698</v>
      </c>
      <c r="R170" s="27" t="n">
        <v>-0.0493</v>
      </c>
      <c r="S170" s="27" t="n">
        <v>0.0398</v>
      </c>
      <c r="T170" s="27" t="n">
        <v>0.0306</v>
      </c>
      <c r="U170" s="24" t="n">
        <v>-51</v>
      </c>
      <c r="V170" s="24" t="n">
        <v>7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48" t="inlineStr">
        <is>
          <t>Retained INC</t>
        </is>
      </c>
      <c r="E171" s="31" t="n">
        <v>442</v>
      </c>
      <c r="F171" s="31" t="n">
        <v>85</v>
      </c>
      <c r="G171" s="31" t="n">
        <v>234</v>
      </c>
      <c r="H171" s="31" t="n">
        <v>9</v>
      </c>
      <c r="I171" s="31" t="n">
        <v>811</v>
      </c>
      <c r="J171" s="33" t="inlineStr">
        <is>
          <t>INC</t>
        </is>
      </c>
      <c r="K171" s="31" t="n">
        <v>245</v>
      </c>
      <c r="L171" s="31" t="n">
        <v>96</v>
      </c>
      <c r="M171" s="31" t="n">
        <v>210</v>
      </c>
      <c r="N171" s="31" t="n">
        <v>68</v>
      </c>
      <c r="O171" s="31" t="n">
        <v>687</v>
      </c>
      <c r="P171" s="33" t="inlineStr">
        <is>
          <t>INC</t>
        </is>
      </c>
      <c r="Q171" s="34" t="n">
        <v>-0.1884</v>
      </c>
      <c r="R171" s="34" t="n">
        <v>0.0349</v>
      </c>
      <c r="S171" s="34" t="n">
        <v>0.0172</v>
      </c>
      <c r="T171" s="34" t="n">
        <v>0.08789999999999999</v>
      </c>
      <c r="U171" s="31" t="n">
        <v>-124</v>
      </c>
      <c r="V171" s="31" t="n">
        <v>35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48" t="inlineStr">
        <is>
          <t>Retained AAP</t>
        </is>
      </c>
      <c r="E172" s="24" t="n">
        <v>100</v>
      </c>
      <c r="F172" s="24" t="n">
        <v>163</v>
      </c>
      <c r="G172" s="24" t="n">
        <v>130</v>
      </c>
      <c r="H172" s="24" t="n">
        <v>4</v>
      </c>
      <c r="I172" s="24" t="n">
        <v>422</v>
      </c>
      <c r="J172" s="26" t="inlineStr">
        <is>
          <t>AAP</t>
        </is>
      </c>
      <c r="K172" s="24" t="n">
        <v>102</v>
      </c>
      <c r="L172" s="24" t="n">
        <v>104</v>
      </c>
      <c r="M172" s="24" t="n">
        <v>77</v>
      </c>
      <c r="N172" s="24" t="n">
        <v>8</v>
      </c>
      <c r="O172" s="24" t="n">
        <v>336</v>
      </c>
      <c r="P172" s="26" t="inlineStr">
        <is>
          <t>AAP</t>
        </is>
      </c>
      <c r="Q172" s="27" t="n">
        <v>0.06660000000000001</v>
      </c>
      <c r="R172" s="27" t="n">
        <v>-0.07679999999999999</v>
      </c>
      <c r="S172" s="27" t="n">
        <v>-0.0789</v>
      </c>
      <c r="T172" s="27" t="n">
        <v>0.0143</v>
      </c>
      <c r="U172" s="24" t="n">
        <v>-86</v>
      </c>
      <c r="V172" s="24" t="n">
        <v>2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49" t="inlineStr">
        <is>
          <t>Flipped (INC → AAP)</t>
        </is>
      </c>
      <c r="E173" s="31" t="n">
        <v>304</v>
      </c>
      <c r="F173" s="31" t="n">
        <v>124</v>
      </c>
      <c r="G173" s="31" t="n">
        <v>212</v>
      </c>
      <c r="H173" s="31" t="n">
        <v>12</v>
      </c>
      <c r="I173" s="31" t="n">
        <v>677</v>
      </c>
      <c r="J173" s="33" t="inlineStr">
        <is>
          <t>INC</t>
        </is>
      </c>
      <c r="K173" s="31" t="n">
        <v>41</v>
      </c>
      <c r="L173" s="31" t="n">
        <v>285</v>
      </c>
      <c r="M173" s="31" t="n">
        <v>121</v>
      </c>
      <c r="N173" s="31" t="n">
        <v>19</v>
      </c>
      <c r="O173" s="31" t="n">
        <v>548</v>
      </c>
      <c r="P173" s="33" t="inlineStr">
        <is>
          <t>AAP</t>
        </is>
      </c>
      <c r="Q173" s="34" t="n">
        <v>-0.3742</v>
      </c>
      <c r="R173" s="34" t="n">
        <v>0.3369</v>
      </c>
      <c r="S173" s="34" t="n">
        <v>-0.09230000000000001</v>
      </c>
      <c r="T173" s="34" t="n">
        <v>0.017</v>
      </c>
      <c r="U173" s="31" t="n">
        <v>-129</v>
      </c>
      <c r="V173" s="31" t="n">
        <v>164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49" t="inlineStr">
        <is>
          <t>Flipped (INC → AAP)</t>
        </is>
      </c>
      <c r="E174" s="24" t="n">
        <v>333</v>
      </c>
      <c r="F174" s="24" t="n">
        <v>119</v>
      </c>
      <c r="G174" s="24" t="n">
        <v>150</v>
      </c>
      <c r="H174" s="24" t="n">
        <v>27</v>
      </c>
      <c r="I174" s="24" t="n">
        <v>662</v>
      </c>
      <c r="J174" s="26" t="inlineStr">
        <is>
          <t>INC</t>
        </is>
      </c>
      <c r="K174" s="24" t="n">
        <v>70</v>
      </c>
      <c r="L174" s="24" t="n">
        <v>198</v>
      </c>
      <c r="M174" s="24" t="n">
        <v>88</v>
      </c>
      <c r="N174" s="24" t="n">
        <v>68</v>
      </c>
      <c r="O174" s="24" t="n">
        <v>486</v>
      </c>
      <c r="P174" s="26" t="inlineStr">
        <is>
          <t>AAP</t>
        </is>
      </c>
      <c r="Q174" s="27" t="n">
        <v>-0.359</v>
      </c>
      <c r="R174" s="27" t="n">
        <v>0.2276</v>
      </c>
      <c r="S174" s="27" t="n">
        <v>-0.0455</v>
      </c>
      <c r="T174" s="27" t="n">
        <v>0.09910000000000001</v>
      </c>
      <c r="U174" s="24" t="n">
        <v>-176</v>
      </c>
      <c r="V174" s="24" t="n">
        <v>110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49" t="inlineStr">
        <is>
          <t>Flipped (INC → AAP)</t>
        </is>
      </c>
      <c r="E175" s="31" t="n">
        <v>341</v>
      </c>
      <c r="F175" s="31" t="n">
        <v>222</v>
      </c>
      <c r="G175" s="31" t="n">
        <v>265</v>
      </c>
      <c r="H175" s="31" t="n">
        <v>39</v>
      </c>
      <c r="I175" s="31" t="n">
        <v>906</v>
      </c>
      <c r="J175" s="33" t="inlineStr">
        <is>
          <t>INC</t>
        </is>
      </c>
      <c r="K175" s="31" t="n">
        <v>196</v>
      </c>
      <c r="L175" s="31" t="n">
        <v>287</v>
      </c>
      <c r="M175" s="31" t="n">
        <v>170</v>
      </c>
      <c r="N175" s="31" t="n">
        <v>47</v>
      </c>
      <c r="O175" s="31" t="n">
        <v>755</v>
      </c>
      <c r="P175" s="33" t="inlineStr">
        <is>
          <t>AAP</t>
        </is>
      </c>
      <c r="Q175" s="34" t="n">
        <v>-0.1168</v>
      </c>
      <c r="R175" s="34" t="n">
        <v>0.1351</v>
      </c>
      <c r="S175" s="34" t="n">
        <v>-0.0673</v>
      </c>
      <c r="T175" s="34" t="n">
        <v>0.0193</v>
      </c>
      <c r="U175" s="31" t="n">
        <v>-151</v>
      </c>
      <c r="V175" s="31" t="n">
        <v>91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48" t="inlineStr">
        <is>
          <t>Retained AAP</t>
        </is>
      </c>
      <c r="E176" s="24" t="n">
        <v>107</v>
      </c>
      <c r="F176" s="24" t="n">
        <v>185</v>
      </c>
      <c r="G176" s="24" t="n">
        <v>134</v>
      </c>
      <c r="H176" s="24" t="n">
        <v>4</v>
      </c>
      <c r="I176" s="24" t="n">
        <v>436</v>
      </c>
      <c r="J176" s="26" t="inlineStr">
        <is>
          <t>AAP</t>
        </is>
      </c>
      <c r="K176" s="24" t="n">
        <v>45</v>
      </c>
      <c r="L176" s="24" t="n">
        <v>155</v>
      </c>
      <c r="M176" s="24" t="n">
        <v>84</v>
      </c>
      <c r="N176" s="24" t="n">
        <v>10</v>
      </c>
      <c r="O176" s="24" t="n">
        <v>325</v>
      </c>
      <c r="P176" s="26" t="inlineStr">
        <is>
          <t>AAP</t>
        </is>
      </c>
      <c r="Q176" s="27" t="n">
        <v>-0.1069</v>
      </c>
      <c r="R176" s="27" t="n">
        <v>0.0526</v>
      </c>
      <c r="S176" s="27" t="n">
        <v>-0.0488</v>
      </c>
      <c r="T176" s="27" t="n">
        <v>0.0216</v>
      </c>
      <c r="U176" s="24" t="n">
        <v>-111</v>
      </c>
      <c r="V176" s="24" t="n">
        <v>71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48" t="inlineStr">
        <is>
          <t>Retained AAP</t>
        </is>
      </c>
      <c r="E177" s="31" t="n">
        <v>168</v>
      </c>
      <c r="F177" s="31" t="n">
        <v>178</v>
      </c>
      <c r="G177" s="31" t="n">
        <v>151</v>
      </c>
      <c r="H177" s="31" t="n">
        <v>9</v>
      </c>
      <c r="I177" s="31" t="n">
        <v>526</v>
      </c>
      <c r="J177" s="33" t="inlineStr">
        <is>
          <t>AAP</t>
        </is>
      </c>
      <c r="K177" s="31" t="n">
        <v>102</v>
      </c>
      <c r="L177" s="31" t="n">
        <v>192</v>
      </c>
      <c r="M177" s="31" t="n">
        <v>89</v>
      </c>
      <c r="N177" s="31" t="n">
        <v>46</v>
      </c>
      <c r="O177" s="31" t="n">
        <v>452</v>
      </c>
      <c r="P177" s="33" t="inlineStr">
        <is>
          <t>AAP</t>
        </is>
      </c>
      <c r="Q177" s="34" t="n">
        <v>-0.09369999999999999</v>
      </c>
      <c r="R177" s="34" t="n">
        <v>0.0864</v>
      </c>
      <c r="S177" s="34" t="n">
        <v>-0.0902</v>
      </c>
      <c r="T177" s="34" t="n">
        <v>0.08470000000000001</v>
      </c>
      <c r="U177" s="31" t="n">
        <v>-74</v>
      </c>
      <c r="V177" s="31" t="n">
        <v>90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49" t="inlineStr">
        <is>
          <t>Flipped (SAD → AAP)</t>
        </is>
      </c>
      <c r="E178" s="24" t="n">
        <v>167</v>
      </c>
      <c r="F178" s="24" t="n">
        <v>158</v>
      </c>
      <c r="G178" s="24" t="n">
        <v>174</v>
      </c>
      <c r="H178" s="24" t="n">
        <v>11</v>
      </c>
      <c r="I178" s="24" t="n">
        <v>537</v>
      </c>
      <c r="J178" s="26" t="inlineStr">
        <is>
          <t>SAD</t>
        </is>
      </c>
      <c r="K178" s="24" t="n">
        <v>90</v>
      </c>
      <c r="L178" s="24" t="n">
        <v>159</v>
      </c>
      <c r="M178" s="24" t="n">
        <v>107</v>
      </c>
      <c r="N178" s="24" t="n">
        <v>68</v>
      </c>
      <c r="O178" s="24" t="n">
        <v>457</v>
      </c>
      <c r="P178" s="26" t="inlineStr">
        <is>
          <t>AAP</t>
        </is>
      </c>
      <c r="Q178" s="27" t="n">
        <v>-0.1141</v>
      </c>
      <c r="R178" s="27" t="n">
        <v>0.0537</v>
      </c>
      <c r="S178" s="27" t="n">
        <v>-0.08990000000000001</v>
      </c>
      <c r="T178" s="27" t="n">
        <v>0.1283</v>
      </c>
      <c r="U178" s="24" t="n">
        <v>-80</v>
      </c>
      <c r="V178" s="24" t="n">
        <v>52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49" t="inlineStr">
        <is>
          <t>Flipped (INC → AAP)</t>
        </is>
      </c>
      <c r="E179" s="31" t="n">
        <v>134</v>
      </c>
      <c r="F179" s="31" t="n">
        <v>101</v>
      </c>
      <c r="G179" s="31" t="n">
        <v>93</v>
      </c>
      <c r="H179" s="31" t="n">
        <v>2</v>
      </c>
      <c r="I179" s="31" t="n">
        <v>341</v>
      </c>
      <c r="J179" s="33" t="inlineStr">
        <is>
          <t>INC</t>
        </is>
      </c>
      <c r="K179" s="31" t="n">
        <v>112</v>
      </c>
      <c r="L179" s="31" t="n">
        <v>156</v>
      </c>
      <c r="M179" s="31" t="n">
        <v>16</v>
      </c>
      <c r="N179" s="31" t="n">
        <v>9</v>
      </c>
      <c r="O179" s="31" t="n">
        <v>300</v>
      </c>
      <c r="P179" s="33" t="inlineStr">
        <is>
          <t>AAP</t>
        </is>
      </c>
      <c r="Q179" s="34" t="n">
        <v>-0.0197</v>
      </c>
      <c r="R179" s="34" t="n">
        <v>0.2238</v>
      </c>
      <c r="S179" s="34" t="n">
        <v>-0.2194</v>
      </c>
      <c r="T179" s="34" t="n">
        <v>0.0241</v>
      </c>
      <c r="U179" s="31" t="n">
        <v>-41</v>
      </c>
      <c r="V179" s="31" t="n">
        <v>44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48" t="inlineStr">
        <is>
          <t>Retained AAP</t>
        </is>
      </c>
      <c r="E180" s="24" t="n">
        <v>212</v>
      </c>
      <c r="F180" s="24" t="n">
        <v>300</v>
      </c>
      <c r="G180" s="24" t="n">
        <v>174</v>
      </c>
      <c r="H180" s="24" t="n">
        <v>6</v>
      </c>
      <c r="I180" s="24" t="n">
        <v>723</v>
      </c>
      <c r="J180" s="26" t="inlineStr">
        <is>
          <t>AAP</t>
        </is>
      </c>
      <c r="K180" s="24" t="n">
        <v>182</v>
      </c>
      <c r="L180" s="24" t="n">
        <v>244</v>
      </c>
      <c r="M180" s="24" t="n">
        <v>10</v>
      </c>
      <c r="N180" s="24" t="n">
        <v>8</v>
      </c>
      <c r="O180" s="24" t="n">
        <v>480</v>
      </c>
      <c r="P180" s="26" t="inlineStr">
        <is>
          <t>AAP</t>
        </is>
      </c>
      <c r="Q180" s="27" t="n">
        <v>0.08599999999999999</v>
      </c>
      <c r="R180" s="27" t="n">
        <v>0.0934</v>
      </c>
      <c r="S180" s="27" t="n">
        <v>-0.2199</v>
      </c>
      <c r="T180" s="27" t="n">
        <v>0.008399999999999999</v>
      </c>
      <c r="U180" s="24" t="n">
        <v>-243</v>
      </c>
      <c r="V180" s="24" t="n">
        <v>62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49" t="inlineStr">
        <is>
          <t>Flipped (INC → AAP)</t>
        </is>
      </c>
      <c r="E181" s="31" t="n">
        <v>232</v>
      </c>
      <c r="F181" s="31" t="n">
        <v>127</v>
      </c>
      <c r="G181" s="31" t="n">
        <v>150</v>
      </c>
      <c r="H181" s="31" t="n">
        <v>3</v>
      </c>
      <c r="I181" s="31" t="n">
        <v>527</v>
      </c>
      <c r="J181" s="33" t="inlineStr">
        <is>
          <t>INC</t>
        </is>
      </c>
      <c r="K181" s="31" t="n">
        <v>172</v>
      </c>
      <c r="L181" s="31" t="n">
        <v>194</v>
      </c>
      <c r="M181" s="31" t="n">
        <v>6</v>
      </c>
      <c r="N181" s="31" t="n">
        <v>16</v>
      </c>
      <c r="O181" s="31" t="n">
        <v>417</v>
      </c>
      <c r="P181" s="33" t="inlineStr">
        <is>
          <t>AAP</t>
        </is>
      </c>
      <c r="Q181" s="34" t="n">
        <v>-0.0277</v>
      </c>
      <c r="R181" s="34" t="n">
        <v>0.2242</v>
      </c>
      <c r="S181" s="34" t="n">
        <v>-0.2702</v>
      </c>
      <c r="T181" s="34" t="n">
        <v>0.0327</v>
      </c>
      <c r="U181" s="31" t="n">
        <v>-110</v>
      </c>
      <c r="V181" s="31" t="n">
        <v>22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48" t="inlineStr">
        <is>
          <t>Retained INC</t>
        </is>
      </c>
      <c r="E182" s="24" t="n">
        <v>252</v>
      </c>
      <c r="F182" s="24" t="n">
        <v>89</v>
      </c>
      <c r="G182" s="24" t="n">
        <v>114</v>
      </c>
      <c r="H182" s="24" t="n">
        <v>4</v>
      </c>
      <c r="I182" s="24" t="n">
        <v>477</v>
      </c>
      <c r="J182" s="26" t="inlineStr">
        <is>
          <t>INC</t>
        </is>
      </c>
      <c r="K182" s="24" t="n">
        <v>326</v>
      </c>
      <c r="L182" s="24" t="n">
        <v>131</v>
      </c>
      <c r="M182" s="24" t="n">
        <v>59</v>
      </c>
      <c r="N182" s="24" t="n">
        <v>64</v>
      </c>
      <c r="O182" s="24" t="n">
        <v>620</v>
      </c>
      <c r="P182" s="26" t="inlineStr">
        <is>
          <t>INC</t>
        </is>
      </c>
      <c r="Q182" s="27" t="n">
        <v>-0.0025</v>
      </c>
      <c r="R182" s="27" t="n">
        <v>0.0247</v>
      </c>
      <c r="S182" s="27" t="n">
        <v>-0.1438</v>
      </c>
      <c r="T182" s="27" t="n">
        <v>0.09480000000000001</v>
      </c>
      <c r="U182" s="24" t="n">
        <v>143</v>
      </c>
      <c r="V182" s="24" t="n">
        <v>195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49" t="inlineStr">
        <is>
          <t>Flipped (SAD → AAP)</t>
        </is>
      </c>
      <c r="E183" s="31" t="n">
        <v>191</v>
      </c>
      <c r="F183" s="31" t="n">
        <v>173</v>
      </c>
      <c r="G183" s="31" t="n">
        <v>249</v>
      </c>
      <c r="H183" s="31" t="n">
        <v>3</v>
      </c>
      <c r="I183" s="31" t="n">
        <v>631</v>
      </c>
      <c r="J183" s="33" t="inlineStr">
        <is>
          <t>SAD</t>
        </is>
      </c>
      <c r="K183" s="31" t="n">
        <v>173</v>
      </c>
      <c r="L183" s="31" t="n">
        <v>240</v>
      </c>
      <c r="M183" s="31" t="n">
        <v>66</v>
      </c>
      <c r="N183" s="31" t="n">
        <v>14</v>
      </c>
      <c r="O183" s="31" t="n">
        <v>513</v>
      </c>
      <c r="P183" s="33" t="inlineStr">
        <is>
          <t>AAP</t>
        </is>
      </c>
      <c r="Q183" s="34" t="n">
        <v>0.0345</v>
      </c>
      <c r="R183" s="34" t="n">
        <v>0.1936</v>
      </c>
      <c r="S183" s="34" t="n">
        <v>-0.2659</v>
      </c>
      <c r="T183" s="34" t="n">
        <v>0.0225</v>
      </c>
      <c r="U183" s="31" t="n">
        <v>-118</v>
      </c>
      <c r="V183" s="31" t="n">
        <v>67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48" t="inlineStr">
        <is>
          <t>Retained INC</t>
        </is>
      </c>
      <c r="E184" s="24" t="n">
        <v>184</v>
      </c>
      <c r="F184" s="24" t="n">
        <v>48</v>
      </c>
      <c r="G184" s="24" t="n">
        <v>181</v>
      </c>
      <c r="H184" s="24" t="n">
        <v>1</v>
      </c>
      <c r="I184" s="24" t="n">
        <v>432</v>
      </c>
      <c r="J184" s="26" t="inlineStr">
        <is>
          <t>INC</t>
        </is>
      </c>
      <c r="K184" s="24" t="n">
        <v>139</v>
      </c>
      <c r="L184" s="24" t="n">
        <v>114</v>
      </c>
      <c r="M184" s="24" t="n">
        <v>71</v>
      </c>
      <c r="N184" s="24" t="n">
        <v>18</v>
      </c>
      <c r="O184" s="24" t="n">
        <v>355</v>
      </c>
      <c r="P184" s="26" t="inlineStr">
        <is>
          <t>INC</t>
        </is>
      </c>
      <c r="Q184" s="27" t="n">
        <v>-0.0344</v>
      </c>
      <c r="R184" s="27" t="n">
        <v>0.21</v>
      </c>
      <c r="S184" s="27" t="n">
        <v>-0.219</v>
      </c>
      <c r="T184" s="27" t="n">
        <v>0.0484</v>
      </c>
      <c r="U184" s="24" t="n">
        <v>-77</v>
      </c>
      <c r="V184" s="24" t="n">
        <v>25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49" t="inlineStr">
        <is>
          <t>Flipped (INC → AAP)</t>
        </is>
      </c>
      <c r="E185" s="31" t="n">
        <v>303</v>
      </c>
      <c r="F185" s="31" t="n">
        <v>150</v>
      </c>
      <c r="G185" s="31" t="n">
        <v>205</v>
      </c>
      <c r="H185" s="31" t="n">
        <v>4</v>
      </c>
      <c r="I185" s="31" t="n">
        <v>686</v>
      </c>
      <c r="J185" s="33" t="inlineStr">
        <is>
          <t>INC</t>
        </is>
      </c>
      <c r="K185" s="31" t="n">
        <v>148</v>
      </c>
      <c r="L185" s="31" t="n">
        <v>217</v>
      </c>
      <c r="M185" s="31" t="n">
        <v>156</v>
      </c>
      <c r="N185" s="31" t="n">
        <v>11</v>
      </c>
      <c r="O185" s="31" t="n">
        <v>567</v>
      </c>
      <c r="P185" s="33" t="inlineStr">
        <is>
          <t>AAP</t>
        </is>
      </c>
      <c r="Q185" s="34" t="n">
        <v>-0.1807</v>
      </c>
      <c r="R185" s="34" t="n">
        <v>0.164</v>
      </c>
      <c r="S185" s="34" t="n">
        <v>-0.0237</v>
      </c>
      <c r="T185" s="34" t="n">
        <v>0.0136</v>
      </c>
      <c r="U185" s="31" t="n">
        <v>-119</v>
      </c>
      <c r="V185" s="31" t="n">
        <v>61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48" t="inlineStr">
        <is>
          <t>Retained INC</t>
        </is>
      </c>
      <c r="E186" s="24" t="n">
        <v>310</v>
      </c>
      <c r="F186" s="24" t="n">
        <v>200</v>
      </c>
      <c r="G186" s="24" t="n">
        <v>216</v>
      </c>
      <c r="H186" s="24" t="n">
        <v>9</v>
      </c>
      <c r="I186" s="24" t="n">
        <v>757</v>
      </c>
      <c r="J186" s="26" t="inlineStr">
        <is>
          <t>INC</t>
        </is>
      </c>
      <c r="K186" s="24" t="n">
        <v>180</v>
      </c>
      <c r="L186" s="24" t="n">
        <v>176</v>
      </c>
      <c r="M186" s="24" t="n">
        <v>176</v>
      </c>
      <c r="N186" s="24" t="n">
        <v>9</v>
      </c>
      <c r="O186" s="24" t="n">
        <v>602</v>
      </c>
      <c r="P186" s="26" t="inlineStr">
        <is>
          <t>INC</t>
        </is>
      </c>
      <c r="Q186" s="27" t="n">
        <v>-0.1105</v>
      </c>
      <c r="R186" s="27" t="n">
        <v>0.0282</v>
      </c>
      <c r="S186" s="27" t="n">
        <v>0.0071</v>
      </c>
      <c r="T186" s="27" t="n">
        <v>0.0031</v>
      </c>
      <c r="U186" s="24" t="n">
        <v>-155</v>
      </c>
      <c r="V186" s="24" t="n">
        <v>4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49" t="inlineStr">
        <is>
          <t>Flipped (SAD → INC)</t>
        </is>
      </c>
      <c r="E187" s="31" t="n">
        <v>313</v>
      </c>
      <c r="F187" s="31" t="n">
        <v>130</v>
      </c>
      <c r="G187" s="31" t="n">
        <v>336</v>
      </c>
      <c r="H187" s="31" t="n">
        <v>4</v>
      </c>
      <c r="I187" s="31" t="n">
        <v>810</v>
      </c>
      <c r="J187" s="33" t="inlineStr">
        <is>
          <t>SAD</t>
        </is>
      </c>
      <c r="K187" s="31" t="n">
        <v>260</v>
      </c>
      <c r="L187" s="31" t="n">
        <v>92</v>
      </c>
      <c r="M187" s="31" t="n">
        <v>257</v>
      </c>
      <c r="N187" s="31" t="n">
        <v>10</v>
      </c>
      <c r="O187" s="31" t="n">
        <v>672</v>
      </c>
      <c r="P187" s="33" t="inlineStr">
        <is>
          <t>INC</t>
        </is>
      </c>
      <c r="Q187" s="34" t="n">
        <v>0.0005</v>
      </c>
      <c r="R187" s="34" t="n">
        <v>-0.0236</v>
      </c>
      <c r="S187" s="34" t="n">
        <v>-0.03240000000000001</v>
      </c>
      <c r="T187" s="34" t="n">
        <v>0.01</v>
      </c>
      <c r="U187" s="31" t="n">
        <v>-138</v>
      </c>
      <c r="V187" s="31" t="n">
        <v>3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48" t="inlineStr">
        <is>
          <t>Retained INC</t>
        </is>
      </c>
      <c r="E188" s="24" t="n">
        <v>283</v>
      </c>
      <c r="F188" s="24" t="n">
        <v>102</v>
      </c>
      <c r="G188" s="24" t="n">
        <v>132</v>
      </c>
      <c r="H188" s="24" t="n">
        <v>6</v>
      </c>
      <c r="I188" s="24" t="n">
        <v>532</v>
      </c>
      <c r="J188" s="26" t="inlineStr">
        <is>
          <t>INC</t>
        </is>
      </c>
      <c r="K188" s="24" t="n">
        <v>191</v>
      </c>
      <c r="L188" s="24" t="n">
        <v>50</v>
      </c>
      <c r="M188" s="24" t="n">
        <v>142</v>
      </c>
      <c r="N188" s="24" t="n">
        <v>12</v>
      </c>
      <c r="O188" s="24" t="n">
        <v>427</v>
      </c>
      <c r="P188" s="26" t="inlineStr">
        <is>
          <t>INC</t>
        </is>
      </c>
      <c r="Q188" s="27" t="n">
        <v>-0.08470000000000001</v>
      </c>
      <c r="R188" s="27" t="n">
        <v>-0.0746</v>
      </c>
      <c r="S188" s="27" t="n">
        <v>0.08449999999999999</v>
      </c>
      <c r="T188" s="27" t="n">
        <v>0.0168</v>
      </c>
      <c r="U188" s="24" t="n">
        <v>-105</v>
      </c>
      <c r="V188" s="24" t="n">
        <v>49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48" t="inlineStr">
        <is>
          <t>Retained INC</t>
        </is>
      </c>
      <c r="E189" s="31" t="n">
        <v>278</v>
      </c>
      <c r="F189" s="31" t="n">
        <v>110</v>
      </c>
      <c r="G189" s="31" t="n">
        <v>151</v>
      </c>
      <c r="H189" s="31" t="n">
        <v>8</v>
      </c>
      <c r="I189" s="31" t="n">
        <v>558</v>
      </c>
      <c r="J189" s="33" t="inlineStr">
        <is>
          <t>INC</t>
        </is>
      </c>
      <c r="K189" s="31" t="n">
        <v>170</v>
      </c>
      <c r="L189" s="31" t="n">
        <v>89</v>
      </c>
      <c r="M189" s="31" t="n">
        <v>137</v>
      </c>
      <c r="N189" s="31" t="n">
        <v>36</v>
      </c>
      <c r="O189" s="31" t="n">
        <v>465</v>
      </c>
      <c r="P189" s="33" t="inlineStr">
        <is>
          <t>INC</t>
        </is>
      </c>
      <c r="Q189" s="34" t="n">
        <v>-0.1326</v>
      </c>
      <c r="R189" s="34" t="n">
        <v>-0.005699999999999999</v>
      </c>
      <c r="S189" s="34" t="n">
        <v>0.024</v>
      </c>
      <c r="T189" s="34" t="n">
        <v>0.06309999999999999</v>
      </c>
      <c r="U189" s="31" t="n">
        <v>-93</v>
      </c>
      <c r="V189" s="31" t="n">
        <v>33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49" t="inlineStr">
        <is>
          <t>Flipped (SAD → INC)</t>
        </is>
      </c>
      <c r="E190" s="24" t="n">
        <v>295</v>
      </c>
      <c r="F190" s="24" t="n">
        <v>179</v>
      </c>
      <c r="G190" s="24" t="n">
        <v>312</v>
      </c>
      <c r="H190" s="24" t="n">
        <v>1</v>
      </c>
      <c r="I190" s="24" t="n">
        <v>801</v>
      </c>
      <c r="J190" s="26" t="inlineStr">
        <is>
          <t>SAD</t>
        </is>
      </c>
      <c r="K190" s="24" t="n">
        <v>354</v>
      </c>
      <c r="L190" s="24" t="n">
        <v>129</v>
      </c>
      <c r="M190" s="24" t="n">
        <v>137</v>
      </c>
      <c r="N190" s="24" t="n">
        <v>10</v>
      </c>
      <c r="O190" s="24" t="n">
        <v>690</v>
      </c>
      <c r="P190" s="26" t="inlineStr">
        <is>
          <t>INC</t>
        </is>
      </c>
      <c r="Q190" s="27" t="n">
        <v>0.1447</v>
      </c>
      <c r="R190" s="27" t="n">
        <v>-0.0365</v>
      </c>
      <c r="S190" s="27" t="n">
        <v>-0.1909</v>
      </c>
      <c r="T190" s="27" t="n">
        <v>0.0133</v>
      </c>
      <c r="U190" s="24" t="n">
        <v>-111</v>
      </c>
      <c r="V190" s="24" t="n">
        <v>217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48" t="inlineStr">
        <is>
          <t>Retained INC</t>
        </is>
      </c>
      <c r="E191" s="31" t="n">
        <v>382</v>
      </c>
      <c r="F191" s="31" t="n">
        <v>117</v>
      </c>
      <c r="G191" s="31" t="n">
        <v>179</v>
      </c>
      <c r="H191" s="31" t="n">
        <v>31</v>
      </c>
      <c r="I191" s="31" t="n">
        <v>723</v>
      </c>
      <c r="J191" s="33" t="inlineStr">
        <is>
          <t>INC</t>
        </is>
      </c>
      <c r="K191" s="31" t="n">
        <v>302</v>
      </c>
      <c r="L191" s="31" t="n">
        <v>237</v>
      </c>
      <c r="M191" s="31" t="n">
        <v>32</v>
      </c>
      <c r="N191" s="31" t="n">
        <v>17</v>
      </c>
      <c r="O191" s="31" t="n">
        <v>613</v>
      </c>
      <c r="P191" s="33" t="inlineStr">
        <is>
          <t>INC</t>
        </is>
      </c>
      <c r="Q191" s="34" t="n">
        <v>-0.0357</v>
      </c>
      <c r="R191" s="34" t="n">
        <v>0.2248</v>
      </c>
      <c r="S191" s="34" t="n">
        <v>-0.1954</v>
      </c>
      <c r="T191" s="34" t="n">
        <v>-0.0152</v>
      </c>
      <c r="U191" s="31" t="n">
        <v>-110</v>
      </c>
      <c r="V191" s="31" t="n">
        <v>65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48" t="inlineStr">
        <is>
          <t>Retained INC</t>
        </is>
      </c>
      <c r="E192" s="24" t="n">
        <v>233</v>
      </c>
      <c r="F192" s="24" t="n">
        <v>31</v>
      </c>
      <c r="G192" s="24" t="n">
        <v>50</v>
      </c>
      <c r="H192" s="24" t="n">
        <v>1</v>
      </c>
      <c r="I192" s="24" t="n">
        <v>316</v>
      </c>
      <c r="J192" s="26" t="inlineStr">
        <is>
          <t>INC</t>
        </is>
      </c>
      <c r="K192" s="24" t="n">
        <v>185</v>
      </c>
      <c r="L192" s="24" t="n">
        <v>149</v>
      </c>
      <c r="M192" s="24" t="n">
        <v>2</v>
      </c>
      <c r="N192" s="24" t="n">
        <v>0</v>
      </c>
      <c r="O192" s="24" t="n">
        <v>354</v>
      </c>
      <c r="P192" s="26" t="inlineStr">
        <is>
          <t>INC</t>
        </is>
      </c>
      <c r="Q192" s="27" t="n">
        <v>-0.2147</v>
      </c>
      <c r="R192" s="27" t="n">
        <v>0.3228</v>
      </c>
      <c r="S192" s="27" t="n">
        <v>-0.1526</v>
      </c>
      <c r="T192" s="27" t="n">
        <v>-0.0032</v>
      </c>
      <c r="U192" s="24" t="n">
        <v>38</v>
      </c>
      <c r="V192" s="24" t="n">
        <v>36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49" t="inlineStr">
        <is>
          <t>Flipped (INC → AAP)</t>
        </is>
      </c>
      <c r="E193" s="31" t="n">
        <v>355</v>
      </c>
      <c r="F193" s="31" t="n">
        <v>35</v>
      </c>
      <c r="G193" s="31" t="n">
        <v>155</v>
      </c>
      <c r="H193" s="31" t="n">
        <v>7</v>
      </c>
      <c r="I193" s="31" t="n">
        <v>561</v>
      </c>
      <c r="J193" s="33" t="inlineStr">
        <is>
          <t>INC</t>
        </is>
      </c>
      <c r="K193" s="31" t="n">
        <v>92</v>
      </c>
      <c r="L193" s="31" t="n">
        <v>348</v>
      </c>
      <c r="M193" s="31" t="n">
        <v>51</v>
      </c>
      <c r="N193" s="31" t="n">
        <v>15</v>
      </c>
      <c r="O193" s="31" t="n">
        <v>524</v>
      </c>
      <c r="P193" s="33" t="inlineStr">
        <is>
          <t>AAP</t>
        </is>
      </c>
      <c r="Q193" s="34" t="n">
        <v>-0.4572</v>
      </c>
      <c r="R193" s="34" t="n">
        <v>0.6017</v>
      </c>
      <c r="S193" s="34" t="n">
        <v>-0.179</v>
      </c>
      <c r="T193" s="34" t="n">
        <v>0.0161</v>
      </c>
      <c r="U193" s="31" t="n">
        <v>-37</v>
      </c>
      <c r="V193" s="31" t="n">
        <v>256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49" t="inlineStr">
        <is>
          <t>Flipped (INC → AAP)</t>
        </is>
      </c>
      <c r="E194" s="24" t="n">
        <v>255</v>
      </c>
      <c r="F194" s="24" t="n">
        <v>32</v>
      </c>
      <c r="G194" s="24" t="n">
        <v>230</v>
      </c>
      <c r="H194" s="24" t="n">
        <v>0</v>
      </c>
      <c r="I194" s="24" t="n">
        <v>525</v>
      </c>
      <c r="J194" s="26" t="inlineStr">
        <is>
          <t>INC</t>
        </is>
      </c>
      <c r="K194" s="24" t="n">
        <v>72</v>
      </c>
      <c r="L194" s="24" t="n">
        <v>309</v>
      </c>
      <c r="M194" s="24" t="n">
        <v>116</v>
      </c>
      <c r="N194" s="24" t="n">
        <v>9</v>
      </c>
      <c r="O194" s="24" t="n">
        <v>523</v>
      </c>
      <c r="P194" s="26" t="inlineStr">
        <is>
          <t>AAP</t>
        </is>
      </c>
      <c r="Q194" s="27" t="n">
        <v>-0.348</v>
      </c>
      <c r="R194" s="27" t="n">
        <v>0.5297999999999999</v>
      </c>
      <c r="S194" s="27" t="n">
        <v>-0.2163</v>
      </c>
      <c r="T194" s="27" t="n">
        <v>0.0172</v>
      </c>
      <c r="U194" s="24" t="n">
        <v>-2</v>
      </c>
      <c r="V194" s="24" t="n">
        <v>193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49" t="inlineStr">
        <is>
          <t>Flipped (SAD → INC)</t>
        </is>
      </c>
      <c r="E195" s="31" t="n">
        <v>223</v>
      </c>
      <c r="F195" s="31" t="n">
        <v>98</v>
      </c>
      <c r="G195" s="31" t="n">
        <v>237</v>
      </c>
      <c r="H195" s="31" t="n">
        <v>18</v>
      </c>
      <c r="I195" s="31" t="n">
        <v>594</v>
      </c>
      <c r="J195" s="33" t="inlineStr">
        <is>
          <t>SAD</t>
        </is>
      </c>
      <c r="K195" s="31" t="n">
        <v>200</v>
      </c>
      <c r="L195" s="31" t="n">
        <v>128</v>
      </c>
      <c r="M195" s="31" t="n">
        <v>71</v>
      </c>
      <c r="N195" s="31" t="n">
        <v>116</v>
      </c>
      <c r="O195" s="31" t="n">
        <v>539</v>
      </c>
      <c r="P195" s="33" t="inlineStr">
        <is>
          <t>INC</t>
        </is>
      </c>
      <c r="Q195" s="34" t="n">
        <v>-0.0043</v>
      </c>
      <c r="R195" s="34" t="n">
        <v>0.0725</v>
      </c>
      <c r="S195" s="34" t="n">
        <v>-0.2673</v>
      </c>
      <c r="T195" s="34" t="n">
        <v>0.1849</v>
      </c>
      <c r="U195" s="31" t="n">
        <v>-55</v>
      </c>
      <c r="V195" s="31" t="n">
        <v>72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48" t="inlineStr">
        <is>
          <t>Retained INC</t>
        </is>
      </c>
      <c r="E196" s="24" t="n">
        <v>315</v>
      </c>
      <c r="F196" s="24" t="n">
        <v>226</v>
      </c>
      <c r="G196" s="24" t="n">
        <v>227</v>
      </c>
      <c r="H196" s="24" t="n">
        <v>9</v>
      </c>
      <c r="I196" s="24" t="n">
        <v>792</v>
      </c>
      <c r="J196" s="26" t="inlineStr">
        <is>
          <t>INC</t>
        </is>
      </c>
      <c r="K196" s="24" t="n">
        <v>226</v>
      </c>
      <c r="L196" s="24" t="n">
        <v>176</v>
      </c>
      <c r="M196" s="24" t="n">
        <v>197</v>
      </c>
      <c r="N196" s="24" t="n">
        <v>107</v>
      </c>
      <c r="O196" s="24" t="n">
        <v>769</v>
      </c>
      <c r="P196" s="26" t="inlineStr">
        <is>
          <t>INC</t>
        </is>
      </c>
      <c r="Q196" s="27" t="n">
        <v>-0.1038</v>
      </c>
      <c r="R196" s="27" t="n">
        <v>-0.0565</v>
      </c>
      <c r="S196" s="27" t="n">
        <v>-0.0304</v>
      </c>
      <c r="T196" s="27" t="n">
        <v>0.1277</v>
      </c>
      <c r="U196" s="24" t="n">
        <v>-23</v>
      </c>
      <c r="V196" s="24" t="n">
        <v>29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48" t="inlineStr">
        <is>
          <t>Retained INC</t>
        </is>
      </c>
      <c r="E197" s="31" t="n">
        <v>193</v>
      </c>
      <c r="F197" s="31" t="n">
        <v>73</v>
      </c>
      <c r="G197" s="31" t="n">
        <v>108</v>
      </c>
      <c r="H197" s="31" t="n">
        <v>34</v>
      </c>
      <c r="I197" s="31" t="n">
        <v>434</v>
      </c>
      <c r="J197" s="33" t="inlineStr">
        <is>
          <t>INC</t>
        </is>
      </c>
      <c r="K197" s="31" t="n">
        <v>173</v>
      </c>
      <c r="L197" s="31" t="n">
        <v>84</v>
      </c>
      <c r="M197" s="31" t="n">
        <v>23</v>
      </c>
      <c r="N197" s="31" t="n">
        <v>92</v>
      </c>
      <c r="O197" s="31" t="n">
        <v>412</v>
      </c>
      <c r="P197" s="33" t="inlineStr">
        <is>
          <t>INC</t>
        </is>
      </c>
      <c r="Q197" s="34" t="n">
        <v>-0.0248</v>
      </c>
      <c r="R197" s="34" t="n">
        <v>0.0357</v>
      </c>
      <c r="S197" s="34" t="n">
        <v>-0.193</v>
      </c>
      <c r="T197" s="34" t="n">
        <v>0.145</v>
      </c>
      <c r="U197" s="31" t="n">
        <v>-22</v>
      </c>
      <c r="V197" s="31" t="n">
        <v>81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48" t="inlineStr">
        <is>
          <t>Retained INC</t>
        </is>
      </c>
      <c r="E198" s="24" t="n">
        <v>263</v>
      </c>
      <c r="F198" s="24" t="n">
        <v>112</v>
      </c>
      <c r="G198" s="24" t="n">
        <v>138</v>
      </c>
      <c r="H198" s="24" t="n">
        <v>21</v>
      </c>
      <c r="I198" s="24" t="n">
        <v>560</v>
      </c>
      <c r="J198" s="26" t="inlineStr">
        <is>
          <t>INC</t>
        </is>
      </c>
      <c r="K198" s="24" t="n">
        <v>175</v>
      </c>
      <c r="L198" s="24" t="n">
        <v>130</v>
      </c>
      <c r="M198" s="24" t="n">
        <v>39</v>
      </c>
      <c r="N198" s="24" t="n">
        <v>91</v>
      </c>
      <c r="O198" s="24" t="n">
        <v>480</v>
      </c>
      <c r="P198" s="26" t="inlineStr">
        <is>
          <t>INC</t>
        </is>
      </c>
      <c r="Q198" s="27" t="n">
        <v>-0.105</v>
      </c>
      <c r="R198" s="27" t="n">
        <v>0.0708</v>
      </c>
      <c r="S198" s="27" t="n">
        <v>-0.1652</v>
      </c>
      <c r="T198" s="27" t="n">
        <v>0.1521</v>
      </c>
      <c r="U198" s="24" t="n">
        <v>-80</v>
      </c>
      <c r="V198" s="24" t="n">
        <v>45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48" t="inlineStr">
        <is>
          <t>Retained INC</t>
        </is>
      </c>
      <c r="E199" s="31" t="n">
        <v>213</v>
      </c>
      <c r="F199" s="31" t="n">
        <v>180</v>
      </c>
      <c r="G199" s="31" t="n">
        <v>141</v>
      </c>
      <c r="H199" s="31" t="n">
        <v>27</v>
      </c>
      <c r="I199" s="31" t="n">
        <v>600</v>
      </c>
      <c r="J199" s="33" t="inlineStr">
        <is>
          <t>INC</t>
        </is>
      </c>
      <c r="K199" s="31" t="n">
        <v>190</v>
      </c>
      <c r="L199" s="31" t="n">
        <v>99</v>
      </c>
      <c r="M199" s="31" t="n">
        <v>85</v>
      </c>
      <c r="N199" s="31" t="n">
        <v>90</v>
      </c>
      <c r="O199" s="31" t="n">
        <v>505</v>
      </c>
      <c r="P199" s="33" t="inlineStr">
        <is>
          <t>INC</t>
        </is>
      </c>
      <c r="Q199" s="34" t="n">
        <v>0.0212</v>
      </c>
      <c r="R199" s="34" t="n">
        <v>-0.104</v>
      </c>
      <c r="S199" s="34" t="n">
        <v>-0.0667</v>
      </c>
      <c r="T199" s="34" t="n">
        <v>0.1332</v>
      </c>
      <c r="U199" s="31" t="n">
        <v>-95</v>
      </c>
      <c r="V199" s="31" t="n">
        <v>91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48" t="inlineStr">
        <is>
          <t>Retained INC</t>
        </is>
      </c>
      <c r="E200" s="24" t="n">
        <v>178</v>
      </c>
      <c r="F200" s="24" t="n">
        <v>135</v>
      </c>
      <c r="G200" s="24" t="n">
        <v>96</v>
      </c>
      <c r="H200" s="24" t="n">
        <v>23</v>
      </c>
      <c r="I200" s="24" t="n">
        <v>447</v>
      </c>
      <c r="J200" s="26" t="inlineStr">
        <is>
          <t>INC</t>
        </is>
      </c>
      <c r="K200" s="24" t="n">
        <v>205</v>
      </c>
      <c r="L200" s="24" t="n">
        <v>70</v>
      </c>
      <c r="M200" s="24" t="n">
        <v>27</v>
      </c>
      <c r="N200" s="24" t="n">
        <v>82</v>
      </c>
      <c r="O200" s="24" t="n">
        <v>396</v>
      </c>
      <c r="P200" s="26" t="inlineStr">
        <is>
          <t>INC</t>
        </is>
      </c>
      <c r="Q200" s="27" t="n">
        <v>0.1195</v>
      </c>
      <c r="R200" s="27" t="n">
        <v>-0.1252</v>
      </c>
      <c r="S200" s="27" t="n">
        <v>-0.1466</v>
      </c>
      <c r="T200" s="27" t="n">
        <v>0.1556</v>
      </c>
      <c r="U200" s="24" t="n">
        <v>-51</v>
      </c>
      <c r="V200" s="24" t="n">
        <v>123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48" t="inlineStr">
        <is>
          <t>Retained AAP</t>
        </is>
      </c>
      <c r="E201" s="31" t="n">
        <v>105</v>
      </c>
      <c r="F201" s="31" t="n">
        <v>281</v>
      </c>
      <c r="G201" s="31" t="n">
        <v>95</v>
      </c>
      <c r="H201" s="31" t="n">
        <v>33</v>
      </c>
      <c r="I201" s="31" t="n">
        <v>524</v>
      </c>
      <c r="J201" s="33" t="inlineStr">
        <is>
          <t>AAP</t>
        </is>
      </c>
      <c r="K201" s="31" t="n">
        <v>109</v>
      </c>
      <c r="L201" s="31" t="n">
        <v>115</v>
      </c>
      <c r="M201" s="31" t="n">
        <v>81</v>
      </c>
      <c r="N201" s="31" t="n">
        <v>69</v>
      </c>
      <c r="O201" s="31" t="n">
        <v>421</v>
      </c>
      <c r="P201" s="33" t="inlineStr">
        <is>
          <t>AAP</t>
        </is>
      </c>
      <c r="Q201" s="34" t="n">
        <v>0.0585</v>
      </c>
      <c r="R201" s="34" t="n">
        <v>-0.2631</v>
      </c>
      <c r="S201" s="34" t="n">
        <v>0.0111</v>
      </c>
      <c r="T201" s="34" t="n">
        <v>0.1009</v>
      </c>
      <c r="U201" s="31" t="n">
        <v>-103</v>
      </c>
      <c r="V201" s="31" t="n">
        <v>6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49" t="inlineStr">
        <is>
          <t>Flipped (AAP → BJP)</t>
        </is>
      </c>
      <c r="E202" s="24" t="n">
        <v>89</v>
      </c>
      <c r="F202" s="24" t="n">
        <v>248</v>
      </c>
      <c r="G202" s="24" t="n">
        <v>161</v>
      </c>
      <c r="H202" s="24" t="n">
        <v>29</v>
      </c>
      <c r="I202" s="24" t="n">
        <v>549</v>
      </c>
      <c r="J202" s="26" t="inlineStr">
        <is>
          <t>AAP</t>
        </is>
      </c>
      <c r="K202" s="24" t="n">
        <v>88</v>
      </c>
      <c r="L202" s="24" t="n">
        <v>120</v>
      </c>
      <c r="M202" s="24" t="n">
        <v>33</v>
      </c>
      <c r="N202" s="24" t="n">
        <v>163</v>
      </c>
      <c r="O202" s="24" t="n">
        <v>448</v>
      </c>
      <c r="P202" s="26" t="inlineStr">
        <is>
          <t>BJP</t>
        </is>
      </c>
      <c r="Q202" s="27" t="n">
        <v>0.0343</v>
      </c>
      <c r="R202" s="27" t="n">
        <v>-0.1838</v>
      </c>
      <c r="S202" s="27" t="n">
        <v>-0.2196</v>
      </c>
      <c r="T202" s="27" t="n">
        <v>0.311</v>
      </c>
      <c r="U202" s="24" t="n">
        <v>-101</v>
      </c>
      <c r="V202" s="24" t="n">
        <v>43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49" t="inlineStr">
        <is>
          <t>Flipped (AAP → SAD)</t>
        </is>
      </c>
      <c r="E203" s="31" t="n">
        <v>118</v>
      </c>
      <c r="F203" s="31" t="n">
        <v>241</v>
      </c>
      <c r="G203" s="31" t="n">
        <v>177</v>
      </c>
      <c r="H203" s="31" t="n">
        <v>25</v>
      </c>
      <c r="I203" s="31" t="n">
        <v>576</v>
      </c>
      <c r="J203" s="33" t="inlineStr">
        <is>
          <t>AAP</t>
        </is>
      </c>
      <c r="K203" s="31" t="n">
        <v>131</v>
      </c>
      <c r="L203" s="31" t="n">
        <v>98</v>
      </c>
      <c r="M203" s="31" t="n">
        <v>167</v>
      </c>
      <c r="N203" s="31" t="n">
        <v>76</v>
      </c>
      <c r="O203" s="31" t="n">
        <v>499</v>
      </c>
      <c r="P203" s="33" t="inlineStr">
        <is>
          <t>SAD</t>
        </is>
      </c>
      <c r="Q203" s="34" t="n">
        <v>0.0576</v>
      </c>
      <c r="R203" s="34" t="n">
        <v>-0.222</v>
      </c>
      <c r="S203" s="34" t="n">
        <v>0.0274</v>
      </c>
      <c r="T203" s="34" t="n">
        <v>0.1089</v>
      </c>
      <c r="U203" s="31" t="n">
        <v>-77</v>
      </c>
      <c r="V203" s="31" t="n">
        <v>36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49" t="inlineStr">
        <is>
          <t>Flipped (AAP → SAD)</t>
        </is>
      </c>
      <c r="E204" s="24" t="n">
        <v>95</v>
      </c>
      <c r="F204" s="24" t="n">
        <v>282</v>
      </c>
      <c r="G204" s="24" t="n">
        <v>216</v>
      </c>
      <c r="H204" s="24" t="n">
        <v>39</v>
      </c>
      <c r="I204" s="24" t="n">
        <v>657</v>
      </c>
      <c r="J204" s="26" t="inlineStr">
        <is>
          <t>AAP</t>
        </is>
      </c>
      <c r="K204" s="24" t="n">
        <v>111</v>
      </c>
      <c r="L204" s="24" t="n">
        <v>112</v>
      </c>
      <c r="M204" s="24" t="n">
        <v>137</v>
      </c>
      <c r="N204" s="24" t="n">
        <v>114</v>
      </c>
      <c r="O204" s="24" t="n">
        <v>523</v>
      </c>
      <c r="P204" s="26" t="inlineStr">
        <is>
          <t>SAD</t>
        </is>
      </c>
      <c r="Q204" s="27" t="n">
        <v>0.06759999999999999</v>
      </c>
      <c r="R204" s="27" t="n">
        <v>-0.2151</v>
      </c>
      <c r="S204" s="27" t="n">
        <v>-0.0668</v>
      </c>
      <c r="T204" s="27" t="n">
        <v>0.1586</v>
      </c>
      <c r="U204" s="24" t="n">
        <v>-134</v>
      </c>
      <c r="V204" s="24" t="n">
        <v>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48" t="inlineStr">
        <is>
          <t>Retained BJP</t>
        </is>
      </c>
      <c r="E205" s="31" t="n">
        <v>93</v>
      </c>
      <c r="F205" s="31" t="n">
        <v>221</v>
      </c>
      <c r="G205" s="31" t="n">
        <v>19</v>
      </c>
      <c r="H205" s="31" t="n">
        <v>332</v>
      </c>
      <c r="I205" s="31" t="n">
        <v>685</v>
      </c>
      <c r="J205" s="33" t="inlineStr">
        <is>
          <t>BJP</t>
        </is>
      </c>
      <c r="K205" s="31" t="n">
        <v>110</v>
      </c>
      <c r="L205" s="31" t="n">
        <v>86</v>
      </c>
      <c r="M205" s="31" t="n">
        <v>20</v>
      </c>
      <c r="N205" s="31" t="n">
        <v>289</v>
      </c>
      <c r="O205" s="31" t="n">
        <v>531</v>
      </c>
      <c r="P205" s="33" t="inlineStr">
        <is>
          <t>BJP</t>
        </is>
      </c>
      <c r="Q205" s="34" t="n">
        <v>0.07139999999999999</v>
      </c>
      <c r="R205" s="34" t="n">
        <v>-0.1606</v>
      </c>
      <c r="S205" s="34" t="n">
        <v>0.01</v>
      </c>
      <c r="T205" s="34" t="n">
        <v>0.0596</v>
      </c>
      <c r="U205" s="31" t="n">
        <v>-154</v>
      </c>
      <c r="V205" s="31" t="n">
        <v>179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49" t="inlineStr">
        <is>
          <t>Flipped (AAP → INC)</t>
        </is>
      </c>
      <c r="E206" s="24" t="n">
        <v>116</v>
      </c>
      <c r="F206" s="24" t="n">
        <v>185</v>
      </c>
      <c r="G206" s="24" t="n">
        <v>43</v>
      </c>
      <c r="H206" s="24" t="n">
        <v>45</v>
      </c>
      <c r="I206" s="24" t="n">
        <v>400</v>
      </c>
      <c r="J206" s="26" t="inlineStr">
        <is>
          <t>AAP</t>
        </is>
      </c>
      <c r="K206" s="24" t="n">
        <v>156</v>
      </c>
      <c r="L206" s="24" t="n">
        <v>78</v>
      </c>
      <c r="M206" s="24" t="n">
        <v>23</v>
      </c>
      <c r="N206" s="24" t="n">
        <v>98</v>
      </c>
      <c r="O206" s="24" t="n">
        <v>368</v>
      </c>
      <c r="P206" s="26" t="inlineStr">
        <is>
          <t>INC</t>
        </is>
      </c>
      <c r="Q206" s="27" t="n">
        <v>0.1339</v>
      </c>
      <c r="R206" s="27" t="n">
        <v>-0.2505</v>
      </c>
      <c r="S206" s="27" t="n">
        <v>-0.045</v>
      </c>
      <c r="T206" s="27" t="n">
        <v>0.1538</v>
      </c>
      <c r="U206" s="24" t="n">
        <v>-32</v>
      </c>
      <c r="V206" s="24" t="n">
        <v>58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49" t="inlineStr">
        <is>
          <t>Flipped (INC → AAP)</t>
        </is>
      </c>
      <c r="E207" s="31" t="n">
        <v>197</v>
      </c>
      <c r="F207" s="31" t="n">
        <v>173</v>
      </c>
      <c r="G207" s="31" t="n">
        <v>91</v>
      </c>
      <c r="H207" s="31" t="n">
        <v>81</v>
      </c>
      <c r="I207" s="31" t="n">
        <v>564</v>
      </c>
      <c r="J207" s="33" t="inlineStr">
        <is>
          <t>INC</t>
        </is>
      </c>
      <c r="K207" s="31" t="n">
        <v>93</v>
      </c>
      <c r="L207" s="31" t="n">
        <v>217</v>
      </c>
      <c r="M207" s="31" t="n">
        <v>8</v>
      </c>
      <c r="N207" s="31" t="n">
        <v>137</v>
      </c>
      <c r="O207" s="31" t="n">
        <v>488</v>
      </c>
      <c r="P207" s="33" t="inlineStr">
        <is>
          <t>AAP</t>
        </is>
      </c>
      <c r="Q207" s="34" t="n">
        <v>-0.1587</v>
      </c>
      <c r="R207" s="34" t="n">
        <v>0.138</v>
      </c>
      <c r="S207" s="34" t="n">
        <v>-0.1449</v>
      </c>
      <c r="T207" s="34" t="n">
        <v>0.1371</v>
      </c>
      <c r="U207" s="31" t="n">
        <v>-76</v>
      </c>
      <c r="V207" s="31" t="n">
        <v>80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48" t="inlineStr">
        <is>
          <t>Retained INC</t>
        </is>
      </c>
      <c r="E208" s="24" t="n">
        <v>114</v>
      </c>
      <c r="F208" s="24" t="n">
        <v>82</v>
      </c>
      <c r="G208" s="24" t="n">
        <v>37</v>
      </c>
      <c r="H208" s="24" t="n">
        <v>15</v>
      </c>
      <c r="I208" s="24" t="n">
        <v>253</v>
      </c>
      <c r="J208" s="26" t="inlineStr">
        <is>
          <t>INC</t>
        </is>
      </c>
      <c r="K208" s="24" t="n">
        <v>112</v>
      </c>
      <c r="L208" s="24" t="n">
        <v>61</v>
      </c>
      <c r="M208" s="24" t="n">
        <v>21</v>
      </c>
      <c r="N208" s="24" t="n">
        <v>39</v>
      </c>
      <c r="O208" s="24" t="n">
        <v>247</v>
      </c>
      <c r="P208" s="26" t="inlineStr">
        <is>
          <t>INC</t>
        </is>
      </c>
      <c r="Q208" s="27" t="n">
        <v>0.0028</v>
      </c>
      <c r="R208" s="27" t="n">
        <v>-0.0771</v>
      </c>
      <c r="S208" s="27" t="n">
        <v>-0.0612</v>
      </c>
      <c r="T208" s="27" t="n">
        <v>0.09859999999999999</v>
      </c>
      <c r="U208" s="24" t="n">
        <v>-6</v>
      </c>
      <c r="V208" s="24" t="n">
        <v>51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48" t="inlineStr">
        <is>
          <t>Retained INC</t>
        </is>
      </c>
      <c r="E209" s="31" t="n">
        <v>180</v>
      </c>
      <c r="F209" s="31" t="n">
        <v>156</v>
      </c>
      <c r="G209" s="31" t="n">
        <v>140</v>
      </c>
      <c r="H209" s="31" t="n">
        <v>27</v>
      </c>
      <c r="I209" s="31" t="n">
        <v>513</v>
      </c>
      <c r="J209" s="33" t="inlineStr">
        <is>
          <t>INC</t>
        </is>
      </c>
      <c r="K209" s="31" t="n">
        <v>222</v>
      </c>
      <c r="L209" s="31" t="n">
        <v>93</v>
      </c>
      <c r="M209" s="31" t="n">
        <v>56</v>
      </c>
      <c r="N209" s="31" t="n">
        <v>66</v>
      </c>
      <c r="O209" s="31" t="n">
        <v>468</v>
      </c>
      <c r="P209" s="33" t="inlineStr">
        <is>
          <t>INC</t>
        </is>
      </c>
      <c r="Q209" s="34" t="n">
        <v>0.1235</v>
      </c>
      <c r="R209" s="34" t="n">
        <v>-0.1054</v>
      </c>
      <c r="S209" s="34" t="n">
        <v>-0.1532</v>
      </c>
      <c r="T209" s="34" t="n">
        <v>0.08839999999999999</v>
      </c>
      <c r="U209" s="31" t="n">
        <v>-45</v>
      </c>
      <c r="V209" s="31" t="n">
        <v>129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49" t="inlineStr">
        <is>
          <t>Flipped (SAD → AAP)</t>
        </is>
      </c>
      <c r="E210" s="24" t="n">
        <v>82</v>
      </c>
      <c r="F210" s="24" t="n">
        <v>128</v>
      </c>
      <c r="G210" s="24" t="n">
        <v>149</v>
      </c>
      <c r="H210" s="24" t="n">
        <v>16</v>
      </c>
      <c r="I210" s="24" t="n">
        <v>385</v>
      </c>
      <c r="J210" s="26" t="inlineStr">
        <is>
          <t>SAD</t>
        </is>
      </c>
      <c r="K210" s="24" t="n">
        <v>122</v>
      </c>
      <c r="L210" s="24" t="n">
        <v>190</v>
      </c>
      <c r="M210" s="24" t="n">
        <v>12</v>
      </c>
      <c r="N210" s="24" t="n">
        <v>58</v>
      </c>
      <c r="O210" s="24" t="n">
        <v>410</v>
      </c>
      <c r="P210" s="26" t="inlineStr">
        <is>
          <t>AAP</t>
        </is>
      </c>
      <c r="Q210" s="27" t="n">
        <v>0.08460000000000001</v>
      </c>
      <c r="R210" s="27" t="n">
        <v>0.1309</v>
      </c>
      <c r="S210" s="27" t="n">
        <v>-0.3577</v>
      </c>
      <c r="T210" s="27" t="n">
        <v>0.0999</v>
      </c>
      <c r="U210" s="24" t="n">
        <v>25</v>
      </c>
      <c r="V210" s="24" t="n">
        <v>68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48" t="inlineStr">
        <is>
          <t>Retained SAD</t>
        </is>
      </c>
      <c r="E211" s="31" t="n">
        <v>91</v>
      </c>
      <c r="F211" s="31" t="n">
        <v>46</v>
      </c>
      <c r="G211" s="31" t="n">
        <v>316</v>
      </c>
      <c r="H211" s="31" t="n">
        <v>3</v>
      </c>
      <c r="I211" s="31" t="n">
        <v>464</v>
      </c>
      <c r="J211" s="33" t="inlineStr">
        <is>
          <t>SAD</t>
        </is>
      </c>
      <c r="K211" s="31" t="n">
        <v>53</v>
      </c>
      <c r="L211" s="31" t="n">
        <v>20</v>
      </c>
      <c r="M211" s="31" t="n">
        <v>344</v>
      </c>
      <c r="N211" s="31" t="n">
        <v>14</v>
      </c>
      <c r="O211" s="31" t="n">
        <v>438</v>
      </c>
      <c r="P211" s="33" t="inlineStr">
        <is>
          <t>SAD</t>
        </is>
      </c>
      <c r="Q211" s="34" t="n">
        <v>-0.0751</v>
      </c>
      <c r="R211" s="34" t="n">
        <v>-0.0534</v>
      </c>
      <c r="S211" s="34" t="n">
        <v>0.1044</v>
      </c>
      <c r="T211" s="34" t="n">
        <v>0.0255</v>
      </c>
      <c r="U211" s="31" t="n">
        <v>-26</v>
      </c>
      <c r="V211" s="31" t="n">
        <v>291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48" t="inlineStr">
        <is>
          <t>Retained INC</t>
        </is>
      </c>
      <c r="E212" s="24" t="n">
        <v>254</v>
      </c>
      <c r="F212" s="24" t="n">
        <v>94</v>
      </c>
      <c r="G212" s="24" t="n">
        <v>182</v>
      </c>
      <c r="H212" s="24" t="n">
        <v>66</v>
      </c>
      <c r="I212" s="24" t="n">
        <v>613</v>
      </c>
      <c r="J212" s="26" t="inlineStr">
        <is>
          <t>INC</t>
        </is>
      </c>
      <c r="K212" s="24" t="n">
        <v>189</v>
      </c>
      <c r="L212" s="24" t="n">
        <v>114</v>
      </c>
      <c r="M212" s="24" t="n">
        <v>103</v>
      </c>
      <c r="N212" s="24" t="n">
        <v>116</v>
      </c>
      <c r="O212" s="24" t="n">
        <v>549</v>
      </c>
      <c r="P212" s="26" t="inlineStr">
        <is>
          <t>INC</t>
        </is>
      </c>
      <c r="Q212" s="27" t="n">
        <v>-0.0701</v>
      </c>
      <c r="R212" s="27" t="n">
        <v>0.0544</v>
      </c>
      <c r="S212" s="27" t="n">
        <v>-0.1093</v>
      </c>
      <c r="T212" s="27" t="n">
        <v>0.1036</v>
      </c>
      <c r="U212" s="24" t="n">
        <v>-64</v>
      </c>
      <c r="V212" s="24" t="n">
        <v>73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49" t="inlineStr">
        <is>
          <t>Flipped (INC → AAP)</t>
        </is>
      </c>
      <c r="E213" s="31" t="n">
        <v>100</v>
      </c>
      <c r="F213" s="31" t="n">
        <v>66</v>
      </c>
      <c r="G213" s="31" t="n">
        <v>65</v>
      </c>
      <c r="H213" s="31" t="n">
        <v>1</v>
      </c>
      <c r="I213" s="31" t="n">
        <v>237</v>
      </c>
      <c r="J213" s="33" t="inlineStr">
        <is>
          <t>INC</t>
        </is>
      </c>
      <c r="K213" s="31" t="n">
        <v>56</v>
      </c>
      <c r="L213" s="31" t="n">
        <v>57</v>
      </c>
      <c r="M213" s="31" t="n">
        <v>47</v>
      </c>
      <c r="N213" s="31" t="n">
        <v>32</v>
      </c>
      <c r="O213" s="31" t="n">
        <v>213</v>
      </c>
      <c r="P213" s="33" t="inlineStr">
        <is>
          <t>AAP</t>
        </is>
      </c>
      <c r="Q213" s="34" t="n">
        <v>-0.159</v>
      </c>
      <c r="R213" s="34" t="n">
        <v>-0.0109</v>
      </c>
      <c r="S213" s="34" t="n">
        <v>-0.0536</v>
      </c>
      <c r="T213" s="34" t="n">
        <v>0.146</v>
      </c>
      <c r="U213" s="31" t="n">
        <v>-24</v>
      </c>
      <c r="V213" s="31" t="n">
        <v>1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48" t="inlineStr">
        <is>
          <t>Retained AAP</t>
        </is>
      </c>
      <c r="E214" s="24" t="n">
        <v>158</v>
      </c>
      <c r="F214" s="24" t="n">
        <v>261</v>
      </c>
      <c r="G214" s="24" t="n">
        <v>202</v>
      </c>
      <c r="H214" s="24" t="n">
        <v>6</v>
      </c>
      <c r="I214" s="24" t="n">
        <v>648</v>
      </c>
      <c r="J214" s="26" t="inlineStr">
        <is>
          <t>AAP</t>
        </is>
      </c>
      <c r="K214" s="24" t="n">
        <v>33</v>
      </c>
      <c r="L214" s="24" t="n">
        <v>314</v>
      </c>
      <c r="M214" s="24" t="n">
        <v>92</v>
      </c>
      <c r="N214" s="24" t="n">
        <v>11</v>
      </c>
      <c r="O214" s="24" t="n">
        <v>491</v>
      </c>
      <c r="P214" s="26" t="inlineStr">
        <is>
          <t>AAP</t>
        </is>
      </c>
      <c r="Q214" s="27" t="n">
        <v>-0.1766</v>
      </c>
      <c r="R214" s="27" t="n">
        <v>0.2367</v>
      </c>
      <c r="S214" s="27" t="n">
        <v>-0.1243</v>
      </c>
      <c r="T214" s="27" t="n">
        <v>0.0131</v>
      </c>
      <c r="U214" s="24" t="n">
        <v>-157</v>
      </c>
      <c r="V214" s="24" t="n">
        <v>222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48" t="inlineStr">
        <is>
          <t>Retained AAP</t>
        </is>
      </c>
      <c r="E215" s="31" t="n">
        <v>257</v>
      </c>
      <c r="F215" s="31" t="n">
        <v>342</v>
      </c>
      <c r="G215" s="31" t="n">
        <v>149</v>
      </c>
      <c r="H215" s="31" t="n">
        <v>3</v>
      </c>
      <c r="I215" s="31" t="n">
        <v>776</v>
      </c>
      <c r="J215" s="33" t="inlineStr">
        <is>
          <t>AAP</t>
        </is>
      </c>
      <c r="K215" s="31" t="n">
        <v>56</v>
      </c>
      <c r="L215" s="31" t="n">
        <v>473</v>
      </c>
      <c r="M215" s="31" t="n">
        <v>68</v>
      </c>
      <c r="N215" s="31" t="n">
        <v>12</v>
      </c>
      <c r="O215" s="31" t="n">
        <v>648</v>
      </c>
      <c r="P215" s="33" t="inlineStr">
        <is>
          <t>AAP</t>
        </is>
      </c>
      <c r="Q215" s="34" t="n">
        <v>-0.2448</v>
      </c>
      <c r="R215" s="34" t="n">
        <v>0.2892</v>
      </c>
      <c r="S215" s="34" t="n">
        <v>-0.08710000000000001</v>
      </c>
      <c r="T215" s="34" t="n">
        <v>0.0146</v>
      </c>
      <c r="U215" s="31" t="n">
        <v>-128</v>
      </c>
      <c r="V215" s="31" t="n">
        <v>405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48" t="inlineStr">
        <is>
          <t>Retained AAP</t>
        </is>
      </c>
      <c r="E216" s="24" t="n">
        <v>174</v>
      </c>
      <c r="F216" s="24" t="n">
        <v>233</v>
      </c>
      <c r="G216" s="24" t="n">
        <v>146</v>
      </c>
      <c r="H216" s="24" t="n">
        <v>8</v>
      </c>
      <c r="I216" s="24" t="n">
        <v>587</v>
      </c>
      <c r="J216" s="26" t="inlineStr">
        <is>
          <t>AAP</t>
        </is>
      </c>
      <c r="K216" s="24" t="n">
        <v>62</v>
      </c>
      <c r="L216" s="24" t="n">
        <v>314</v>
      </c>
      <c r="M216" s="24" t="n">
        <v>68</v>
      </c>
      <c r="N216" s="24" t="n">
        <v>13</v>
      </c>
      <c r="O216" s="24" t="n">
        <v>494</v>
      </c>
      <c r="P216" s="26" t="inlineStr">
        <is>
          <t>AAP</t>
        </is>
      </c>
      <c r="Q216" s="27" t="n">
        <v>-0.1709</v>
      </c>
      <c r="R216" s="27" t="n">
        <v>0.2387</v>
      </c>
      <c r="S216" s="27" t="n">
        <v>-0.111</v>
      </c>
      <c r="T216" s="27" t="n">
        <v>0.0127</v>
      </c>
      <c r="U216" s="24" t="n">
        <v>-93</v>
      </c>
      <c r="V216" s="24" t="n">
        <v>246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49" t="inlineStr">
        <is>
          <t>Flipped (INC → AAP)</t>
        </is>
      </c>
      <c r="E217" s="31" t="n">
        <v>293</v>
      </c>
      <c r="F217" s="31" t="n">
        <v>220</v>
      </c>
      <c r="G217" s="31" t="n">
        <v>124</v>
      </c>
      <c r="H217" s="31" t="n">
        <v>24</v>
      </c>
      <c r="I217" s="31" t="n">
        <v>676</v>
      </c>
      <c r="J217" s="33" t="inlineStr">
        <is>
          <t>INC</t>
        </is>
      </c>
      <c r="K217" s="31" t="n">
        <v>88</v>
      </c>
      <c r="L217" s="31" t="n">
        <v>321</v>
      </c>
      <c r="M217" s="31" t="n">
        <v>81</v>
      </c>
      <c r="N217" s="31" t="n">
        <v>27</v>
      </c>
      <c r="O217" s="31" t="n">
        <v>563</v>
      </c>
      <c r="P217" s="33" t="inlineStr">
        <is>
          <t>AAP</t>
        </is>
      </c>
      <c r="Q217" s="34" t="n">
        <v>-0.2771</v>
      </c>
      <c r="R217" s="34" t="n">
        <v>0.2448</v>
      </c>
      <c r="S217" s="34" t="n">
        <v>-0.0395</v>
      </c>
      <c r="T217" s="34" t="n">
        <v>0.0125</v>
      </c>
      <c r="U217" s="31" t="n">
        <v>-113</v>
      </c>
      <c r="V217" s="31" t="n">
        <v>233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49" t="inlineStr">
        <is>
          <t>Flipped (AAP → INC)</t>
        </is>
      </c>
      <c r="E218" s="24" t="n">
        <v>151</v>
      </c>
      <c r="F218" s="24" t="n">
        <v>238</v>
      </c>
      <c r="G218" s="24" t="n">
        <v>157</v>
      </c>
      <c r="H218" s="24" t="n">
        <v>7</v>
      </c>
      <c r="I218" s="24" t="n">
        <v>772</v>
      </c>
      <c r="J218" s="26" t="inlineStr">
        <is>
          <t>AAP</t>
        </is>
      </c>
      <c r="K218" s="24" t="n">
        <v>346</v>
      </c>
      <c r="L218" s="24" t="n">
        <v>139</v>
      </c>
      <c r="M218" s="24" t="n">
        <v>99</v>
      </c>
      <c r="N218" s="24" t="n">
        <v>30</v>
      </c>
      <c r="O218" s="24" t="n">
        <v>692</v>
      </c>
      <c r="P218" s="26" t="inlineStr">
        <is>
          <t>INC</t>
        </is>
      </c>
      <c r="Q218" s="27" t="n">
        <v>0.3044</v>
      </c>
      <c r="R218" s="27" t="n">
        <v>-0.1074</v>
      </c>
      <c r="S218" s="27" t="n">
        <v>-0.0603</v>
      </c>
      <c r="T218" s="27" t="n">
        <v>0.0343</v>
      </c>
      <c r="U218" s="24" t="n">
        <v>-80</v>
      </c>
      <c r="V218" s="24" t="n">
        <v>207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49" t="inlineStr">
        <is>
          <t>Flipped (AAP → INC)</t>
        </is>
      </c>
      <c r="E219" s="31" t="n">
        <v>79</v>
      </c>
      <c r="F219" s="31" t="n">
        <v>344</v>
      </c>
      <c r="G219" s="31" t="n">
        <v>146</v>
      </c>
      <c r="H219" s="31" t="n">
        <v>2</v>
      </c>
      <c r="I219" s="31" t="n">
        <v>650</v>
      </c>
      <c r="J219" s="33" t="inlineStr">
        <is>
          <t>AAP</t>
        </is>
      </c>
      <c r="K219" s="31" t="n">
        <v>168</v>
      </c>
      <c r="L219" s="31" t="n">
        <v>153</v>
      </c>
      <c r="M219" s="31" t="n">
        <v>109</v>
      </c>
      <c r="N219" s="31" t="n">
        <v>14</v>
      </c>
      <c r="O219" s="31" t="n">
        <v>495</v>
      </c>
      <c r="P219" s="33" t="inlineStr">
        <is>
          <t>INC</t>
        </is>
      </c>
      <c r="Q219" s="34" t="n">
        <v>0.2179</v>
      </c>
      <c r="R219" s="34" t="n">
        <v>-0.2201</v>
      </c>
      <c r="S219" s="34" t="n">
        <v>-0.0044</v>
      </c>
      <c r="T219" s="34" t="n">
        <v>0.0252</v>
      </c>
      <c r="U219" s="31" t="n">
        <v>-155</v>
      </c>
      <c r="V219" s="31" t="n">
        <v>15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48" t="inlineStr">
        <is>
          <t>Retained AAP</t>
        </is>
      </c>
      <c r="E220" s="24" t="n">
        <v>282</v>
      </c>
      <c r="F220" s="24" t="n">
        <v>311</v>
      </c>
      <c r="G220" s="24" t="n">
        <v>162</v>
      </c>
      <c r="H220" s="24" t="n">
        <v>5</v>
      </c>
      <c r="I220" s="24" t="n">
        <v>803</v>
      </c>
      <c r="J220" s="26" t="inlineStr">
        <is>
          <t>AAP</t>
        </is>
      </c>
      <c r="K220" s="24" t="n">
        <v>228</v>
      </c>
      <c r="L220" s="24" t="n">
        <v>243</v>
      </c>
      <c r="M220" s="24" t="n">
        <v>90</v>
      </c>
      <c r="N220" s="24" t="n">
        <v>16</v>
      </c>
      <c r="O220" s="24" t="n">
        <v>649</v>
      </c>
      <c r="P220" s="26" t="inlineStr">
        <is>
          <t>AAP</t>
        </is>
      </c>
      <c r="Q220" s="27" t="n">
        <v>0.0001</v>
      </c>
      <c r="R220" s="27" t="n">
        <v>-0.0129</v>
      </c>
      <c r="S220" s="27" t="n">
        <v>-0.063</v>
      </c>
      <c r="T220" s="27" t="n">
        <v>0.0185</v>
      </c>
      <c r="U220" s="24" t="n">
        <v>-154</v>
      </c>
      <c r="V220" s="24" t="n">
        <v>15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48" t="inlineStr">
        <is>
          <t>Retained AAP</t>
        </is>
      </c>
      <c r="E221" s="31" t="n">
        <v>198</v>
      </c>
      <c r="F221" s="31" t="n">
        <v>270</v>
      </c>
      <c r="G221" s="31" t="n">
        <v>207</v>
      </c>
      <c r="H221" s="31" t="n">
        <v>35</v>
      </c>
      <c r="I221" s="31" t="n">
        <v>738</v>
      </c>
      <c r="J221" s="33" t="inlineStr">
        <is>
          <t>AAP</t>
        </is>
      </c>
      <c r="K221" s="31" t="n">
        <v>132</v>
      </c>
      <c r="L221" s="31" t="n">
        <v>196</v>
      </c>
      <c r="M221" s="31" t="n">
        <v>169</v>
      </c>
      <c r="N221" s="31" t="n">
        <v>25</v>
      </c>
      <c r="O221" s="31" t="n">
        <v>581</v>
      </c>
      <c r="P221" s="33" t="inlineStr">
        <is>
          <t>AAP</t>
        </is>
      </c>
      <c r="Q221" s="34" t="n">
        <v>-0.0411</v>
      </c>
      <c r="R221" s="34" t="n">
        <v>-0.0286</v>
      </c>
      <c r="S221" s="34" t="n">
        <v>0.0104</v>
      </c>
      <c r="T221" s="34" t="n">
        <v>-0.0044</v>
      </c>
      <c r="U221" s="31" t="n">
        <v>-157</v>
      </c>
      <c r="V221" s="31" t="n">
        <v>27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48" t="inlineStr">
        <is>
          <t>Retained AAP</t>
        </is>
      </c>
      <c r="E222" s="24" t="n">
        <v>179</v>
      </c>
      <c r="F222" s="24" t="n">
        <v>323</v>
      </c>
      <c r="G222" s="24" t="n">
        <v>220</v>
      </c>
      <c r="H222" s="24" t="n">
        <v>9</v>
      </c>
      <c r="I222" s="24" t="n">
        <v>752</v>
      </c>
      <c r="J222" s="26" t="inlineStr">
        <is>
          <t>AAP</t>
        </is>
      </c>
      <c r="K222" s="24" t="n">
        <v>135</v>
      </c>
      <c r="L222" s="24" t="n">
        <v>263</v>
      </c>
      <c r="M222" s="24" t="n">
        <v>178</v>
      </c>
      <c r="N222" s="24" t="n">
        <v>30</v>
      </c>
      <c r="O222" s="24" t="n">
        <v>706</v>
      </c>
      <c r="P222" s="26" t="inlineStr">
        <is>
          <t>AAP</t>
        </is>
      </c>
      <c r="Q222" s="27" t="n">
        <v>-0.04679999999999999</v>
      </c>
      <c r="R222" s="27" t="n">
        <v>-0.057</v>
      </c>
      <c r="S222" s="27" t="n">
        <v>-0.0405</v>
      </c>
      <c r="T222" s="27" t="n">
        <v>0.0305</v>
      </c>
      <c r="U222" s="24" t="n">
        <v>-46</v>
      </c>
      <c r="V222" s="24" t="n">
        <v>85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48" t="inlineStr">
        <is>
          <t>Retained INC</t>
        </is>
      </c>
      <c r="E223" s="31" t="n">
        <v>343</v>
      </c>
      <c r="F223" s="31" t="n">
        <v>161</v>
      </c>
      <c r="G223" s="31" t="n">
        <v>194</v>
      </c>
      <c r="H223" s="31" t="n">
        <v>5</v>
      </c>
      <c r="I223" s="31" t="n">
        <v>735</v>
      </c>
      <c r="J223" s="33" t="inlineStr">
        <is>
          <t>INC</t>
        </is>
      </c>
      <c r="K223" s="31" t="n">
        <v>269</v>
      </c>
      <c r="L223" s="31" t="n">
        <v>155</v>
      </c>
      <c r="M223" s="31" t="n">
        <v>145</v>
      </c>
      <c r="N223" s="31" t="n">
        <v>8</v>
      </c>
      <c r="O223" s="31" t="n">
        <v>616</v>
      </c>
      <c r="P223" s="33" t="inlineStr">
        <is>
          <t>INC</t>
        </is>
      </c>
      <c r="Q223" s="34" t="n">
        <v>-0.03</v>
      </c>
      <c r="R223" s="34" t="n">
        <v>0.0326</v>
      </c>
      <c r="S223" s="34" t="n">
        <v>-0.0285</v>
      </c>
      <c r="T223" s="34" t="n">
        <v>0.0062</v>
      </c>
      <c r="U223" s="31" t="n">
        <v>-119</v>
      </c>
      <c r="V223" s="31" t="n">
        <v>114</v>
      </c>
    </row>
    <row r="224" ht="24" customHeight="1">
      <c r="A224" s="50" t="inlineStr">
        <is>
          <t>TOTAL</t>
        </is>
      </c>
      <c r="B224" s="50" t="inlineStr">
        <is>
          <t>222 Booths</t>
        </is>
      </c>
      <c r="C224" s="50" t="inlineStr">
        <is>
          <t>Constituency Total</t>
        </is>
      </c>
      <c r="D224" s="50" t="inlineStr">
        <is>
          <t>119 Flipped Booths</t>
        </is>
      </c>
      <c r="E224" s="51">
        <f>SUM(E2:E223)</f>
        <v/>
      </c>
      <c r="F224" s="51">
        <f>SUM(F2:F223)</f>
        <v/>
      </c>
      <c r="G224" s="51">
        <f>SUM(G2:G223)</f>
        <v/>
      </c>
      <c r="H224" s="51">
        <f>SUM(H2:H223)</f>
        <v/>
      </c>
      <c r="I224" s="51">
        <f>SUM(I2:I223)</f>
        <v/>
      </c>
      <c r="J224" s="50" t="inlineStr">
        <is>
          <t>INC 98 / SAD 65 / AAP 58</t>
        </is>
      </c>
      <c r="K224" s="51">
        <f>SUM(K2:K223)</f>
        <v/>
      </c>
      <c r="L224" s="51">
        <f>SUM(L2:L223)</f>
        <v/>
      </c>
      <c r="M224" s="51">
        <f>SUM(M2:M223)</f>
        <v/>
      </c>
      <c r="N224" s="51">
        <f>SUM(N2:N223)</f>
        <v/>
      </c>
      <c r="O224" s="51">
        <f>SUM(O2:O223)</f>
        <v/>
      </c>
      <c r="P224" s="50" t="inlineStr">
        <is>
          <t>INC 112 / AAP 69 / SAD 29 / BJP 11</t>
        </is>
      </c>
      <c r="Q224" s="52">
        <f>(K224/O224)-(E224/I224)</f>
        <v/>
      </c>
      <c r="R224" s="52">
        <f>(L224/O224)-(F224/I224)</f>
        <v/>
      </c>
      <c r="S224" s="52">
        <f>(M224/O224)-(G224/I224)</f>
        <v/>
      </c>
      <c r="T224" s="52">
        <f>(N224/O224)-(H224/I224)</f>
        <v/>
      </c>
      <c r="U224" s="51">
        <f>O224-I224</f>
        <v/>
      </c>
      <c r="V224" s="51">
        <f>SUM(V2:V223)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2026-10-18T05:22:53Z</dcterms:created>
  <dcterms:modified xmlns:dcterms="http://purl.org/dc/terms/" xmlns:xsi="http://www.w3.org/2001/XMLSchema-instance" xsi:type="dcterms:W3CDTF">2026-10-18T05:22:54Z</dcterms:modified>
</cp:coreProperties>
</file>