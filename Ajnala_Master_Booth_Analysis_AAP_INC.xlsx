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P Master Analysis" sheetId="1" state="visible" r:id="rId1"/>
    <sheet xmlns:r="http://schemas.openxmlformats.org/officeDocument/2006/relationships" name="INC Master Analysis" sheetId="2" state="visible" r:id="rId2"/>
    <sheet xmlns:r="http://schemas.openxmlformats.org/officeDocument/2006/relationships" name="AAP Strategy &amp; Booth Clusters" sheetId="3" state="visible" r:id="rId3"/>
    <sheet xmlns:r="http://schemas.openxmlformats.org/officeDocument/2006/relationships" name="All Booths Comparison" sheetId="4" state="visible" r:id="rId4"/>
    <sheet xmlns:r="http://schemas.openxmlformats.org/officeDocument/2006/relationships" name="Executive Summary" sheetId="5" state="visible" r:id="rId5"/>
  </sheets>
  <definedNames>
    <definedName name="_xlnm.Print_Titles" localSheetId="0">'AAP Master Analysis'!$1:$1</definedName>
    <definedName name="_xlnm.Print_Titles" localSheetId="1">'INC Master Analysis'!$1:$1</definedName>
    <definedName name="_xlnm.Print_Titles" localSheetId="2">'AAP Strategy &amp; Booth Clusters'!$1:$1</definedName>
    <definedName name="_xlnm.Print_Titles" localSheetId="3">'All Booths Comparison'!$1:$1</definedName>
    <definedName name="_xlnm.Print_Titles" localSheetId="4">'Executive Summary'!$1:$1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4F72"/>
      <sz val="10"/>
    </font>
    <font>
      <name val="Calibri"/>
      <b val="1"/>
      <sz val="10"/>
    </font>
    <font>
      <name val="Calibri"/>
      <b val="1"/>
      <color rgb="00276A3C"/>
      <sz val="10"/>
    </font>
    <font>
      <name val="Calibri"/>
      <b val="1"/>
      <color rgb="009C0006"/>
      <sz val="10"/>
    </font>
    <font>
      <name val="Calibri"/>
      <color rgb="00595959"/>
      <sz val="10"/>
    </font>
    <font>
      <name val="Calibri"/>
      <b val="1"/>
      <color rgb="009C6500"/>
      <sz val="10"/>
    </font>
    <font>
      <name val="Calibri"/>
      <b val="1"/>
      <color rgb="001F4E79"/>
      <sz val="14"/>
    </font>
    <font>
      <name val="Calibri"/>
      <i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B28900"/>
        <bgColor rgb="00B28900"/>
      </patternFill>
    </fill>
    <fill>
      <patternFill patternType="solid">
        <fgColor rgb="00F9FAFB"/>
        <bgColor rgb="00F9FAFB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  <fill>
      <patternFill patternType="solid">
        <fgColor rgb="001F4E79"/>
        <bgColor rgb="001F4E79"/>
      </patternFill>
    </fill>
    <fill>
      <patternFill patternType="solid">
        <fgColor rgb="009C0006"/>
        <bgColor rgb="009C0006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right" vertical="center"/>
    </xf>
    <xf numFmtId="1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4" fillId="9" borderId="3" applyAlignment="1" pivotButton="0" quotePrefix="0" xfId="0">
      <alignment horizontal="center" vertical="center"/>
    </xf>
    <xf numFmtId="3" fontId="4" fillId="9" borderId="3" applyAlignment="1" pivotButton="0" quotePrefix="0" xfId="0">
      <alignment horizontal="right" vertical="center"/>
    </xf>
    <xf numFmtId="164" fontId="4" fillId="9" borderId="3" applyAlignment="1" pivotButton="0" quotePrefix="0" xfId="0">
      <alignment horizontal="right" vertical="center"/>
    </xf>
    <xf numFmtId="165" fontId="4" fillId="9" borderId="3" applyAlignment="1" pivotButton="0" quotePrefix="0" xfId="0">
      <alignment horizontal="right" vertical="center"/>
    </xf>
    <xf numFmtId="0" fontId="1" fillId="10" borderId="1" applyAlignment="1" pivotButton="0" quotePrefix="0" xfId="0">
      <alignment horizontal="center" vertical="center"/>
    </xf>
    <xf numFmtId="0" fontId="4" fillId="11" borderId="3" applyAlignment="1" pivotButton="0" quotePrefix="0" xfId="0">
      <alignment horizontal="center" vertical="center"/>
    </xf>
    <xf numFmtId="3" fontId="4" fillId="11" borderId="3" applyAlignment="1" pivotButton="0" quotePrefix="0" xfId="0">
      <alignment horizontal="right" vertical="center"/>
    </xf>
    <xf numFmtId="164" fontId="4" fillId="11" borderId="3" applyAlignment="1" pivotButton="0" quotePrefix="0" xfId="0">
      <alignment horizontal="right" vertical="center"/>
    </xf>
    <xf numFmtId="165" fontId="4" fillId="11" borderId="3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5" borderId="2" pivotButton="0" quotePrefix="0" xfId="0"/>
    <xf numFmtId="0" fontId="5" fillId="5" borderId="2" applyAlignment="1" pivotButton="0" quotePrefix="0" xfId="0">
      <alignment horizontal="center" vertical="center"/>
    </xf>
    <xf numFmtId="0" fontId="2" fillId="0" borderId="2" pivotButton="0" quotePrefix="0" xfId="0"/>
    <xf numFmtId="0" fontId="3" fillId="4" borderId="2" pivotButton="0" quotePrefix="0" xfId="0"/>
    <xf numFmtId="0" fontId="3" fillId="4" borderId="2" applyAlignment="1" pivotButton="0" quotePrefix="0" xfId="0">
      <alignment horizontal="center" vertical="center"/>
    </xf>
    <xf numFmtId="0" fontId="6" fillId="6" borderId="2" pivotButton="0" quotePrefix="0" xfId="0"/>
    <xf numFmtId="0" fontId="6" fillId="6" borderId="2" applyAlignment="1" pivotButton="0" quotePrefix="0" xfId="0">
      <alignment horizontal="center" vertical="center"/>
    </xf>
    <xf numFmtId="0" fontId="8" fillId="8" borderId="2" pivotButton="0" quotePrefix="0" xfId="0"/>
    <xf numFmtId="0" fontId="8" fillId="8" borderId="2" applyAlignment="1" pivotButton="0" quotePrefix="0" xfId="0">
      <alignment horizontal="center" vertical="center"/>
    </xf>
    <xf numFmtId="0" fontId="7" fillId="7" borderId="2" pivotButton="0" quotePrefix="0" xfId="0"/>
    <xf numFmtId="0" fontId="7" fillId="7" borderId="2" applyAlignment="1" pivotButton="0" quotePrefix="0" xfId="0">
      <alignment horizontal="center" vertical="center"/>
    </xf>
    <xf numFmtId="0" fontId="4" fillId="0" borderId="0" pivotButton="0" quotePrefix="0" xfId="0"/>
    <xf numFmtId="0" fontId="1" fillId="1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13" borderId="2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3" fontId="4" fillId="0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30" customWidth="1" min="2" max="2"/>
    <col width="30" customWidth="1" min="3" max="3"/>
    <col width="28" customWidth="1" min="4" max="4"/>
    <col width="17" customWidth="1" min="5" max="5"/>
    <col width="21" customWidth="1" min="6" max="6"/>
    <col width="18" customWidth="1" min="7" max="7"/>
    <col width="17" customWidth="1" min="8" max="8"/>
    <col width="21" customWidth="1" min="9" max="9"/>
    <col width="20" customWidth="1" min="10" max="10"/>
    <col width="14" customWidth="1" min="11" max="11"/>
    <col width="14" customWidth="1" min="12" max="12"/>
    <col width="16" customWidth="1" min="13" max="13"/>
    <col width="20" customWidth="1" min="14" max="14"/>
  </cols>
  <sheetData>
    <row r="1" ht="28" customHeight="1">
      <c r="A1" s="1" t="inlineStr">
        <is>
          <t>Booth No</t>
        </is>
      </c>
      <c r="B1" s="1" t="inlineStr">
        <is>
          <t>Village / Polling Station (English)</t>
        </is>
      </c>
      <c r="C1" s="1" t="inlineStr">
        <is>
          <t>Village Name (Punjabi)</t>
        </is>
      </c>
      <c r="D1" s="1" t="inlineStr">
        <is>
          <t>AAP Status Category</t>
        </is>
      </c>
      <c r="E1" s="1" t="inlineStr">
        <is>
          <t>2022 AAP Votes</t>
        </is>
      </c>
      <c r="F1" s="1" t="inlineStr">
        <is>
          <t>2022 AAP %</t>
        </is>
      </c>
      <c r="G1" s="1" t="inlineStr">
        <is>
          <t>2022 Winner</t>
        </is>
      </c>
      <c r="H1" s="1" t="inlineStr">
        <is>
          <t>2024 AAP Votes</t>
        </is>
      </c>
      <c r="I1" s="1" t="inlineStr">
        <is>
          <t>2024 AAP %</t>
        </is>
      </c>
      <c r="J1" s="1" t="inlineStr">
        <is>
          <t>2024 Winner</t>
        </is>
      </c>
      <c r="K1" s="1" t="inlineStr">
        <is>
          <t>Vote Shift (+/-)</t>
        </is>
      </c>
      <c r="L1" s="1" t="inlineStr">
        <is>
          <t>Swing % (+/-)</t>
        </is>
      </c>
      <c r="M1" s="1" t="inlineStr">
        <is>
          <t>2024 Margin</t>
        </is>
      </c>
      <c r="N1" s="1" t="inlineStr">
        <is>
          <t>2024 Total Polled</t>
        </is>
      </c>
    </row>
    <row r="2" ht="20" customHeight="1">
      <c r="A2" s="2" t="n">
        <v>1</v>
      </c>
      <c r="B2" s="3" t="inlineStr">
        <is>
          <t>Ghonewahla</t>
        </is>
      </c>
      <c r="C2" s="3" t="inlineStr">
        <is>
          <t>ਘੋਣੇਵਾਲਾ</t>
        </is>
      </c>
      <c r="D2" s="4" t="inlineStr">
        <is>
          <t>Gained in 2024 (New Win)</t>
        </is>
      </c>
      <c r="E2" s="5" t="n">
        <v>221</v>
      </c>
      <c r="F2" s="6">
        <f>221/787</f>
        <v/>
      </c>
      <c r="G2" s="7" t="inlineStr">
        <is>
          <t>INC</t>
        </is>
      </c>
      <c r="H2" s="5" t="n">
        <v>326</v>
      </c>
      <c r="I2" s="6">
        <f>326/700</f>
        <v/>
      </c>
      <c r="J2" s="7" t="inlineStr">
        <is>
          <t>AAP</t>
        </is>
      </c>
      <c r="K2" s="5" t="n">
        <v>105</v>
      </c>
      <c r="L2" s="8">
        <f>I2-F2</f>
        <v/>
      </c>
      <c r="M2" s="5" t="n">
        <v>135</v>
      </c>
      <c r="N2" s="5" t="n">
        <v>700</v>
      </c>
    </row>
    <row r="3" ht="20" customHeight="1">
      <c r="A3" s="9" t="n">
        <v>2</v>
      </c>
      <c r="B3" s="10" t="inlineStr">
        <is>
          <t>Machhi Wahla</t>
        </is>
      </c>
      <c r="C3" s="10" t="inlineStr">
        <is>
          <t>ਮੱਛੀਵਾਲਾ</t>
        </is>
      </c>
      <c r="D3" s="11" t="inlineStr">
        <is>
          <t>Won Both Times (Stronghold)</t>
        </is>
      </c>
      <c r="E3" s="12" t="n">
        <v>234</v>
      </c>
      <c r="F3" s="13">
        <f>234/649</f>
        <v/>
      </c>
      <c r="G3" s="14" t="inlineStr">
        <is>
          <t>AAP</t>
        </is>
      </c>
      <c r="H3" s="12" t="n">
        <v>231</v>
      </c>
      <c r="I3" s="13">
        <f>231/590</f>
        <v/>
      </c>
      <c r="J3" s="14" t="inlineStr">
        <is>
          <t>AAP</t>
        </is>
      </c>
      <c r="K3" s="12" t="n">
        <v>-3</v>
      </c>
      <c r="L3" s="15">
        <f>I3-F3</f>
        <v/>
      </c>
      <c r="M3" s="12" t="n">
        <v>23</v>
      </c>
      <c r="N3" s="12" t="n">
        <v>590</v>
      </c>
    </row>
    <row r="4" ht="20" customHeight="1">
      <c r="A4" s="2" t="n">
        <v>3</v>
      </c>
      <c r="B4" s="3" t="inlineStr">
        <is>
          <t>Kot Gurbaksh</t>
        </is>
      </c>
      <c r="C4" s="3" t="inlineStr">
        <is>
          <t>ਕੋਟ ਗੁਰਬਖ਼ਸ਼</t>
        </is>
      </c>
      <c r="D4" s="4" t="inlineStr">
        <is>
          <t>Gained in 2024 (New Win)</t>
        </is>
      </c>
      <c r="E4" s="5" t="n">
        <v>162</v>
      </c>
      <c r="F4" s="6">
        <f>162/459</f>
        <v/>
      </c>
      <c r="G4" s="7" t="inlineStr">
        <is>
          <t>SAD</t>
        </is>
      </c>
      <c r="H4" s="5" t="n">
        <v>165</v>
      </c>
      <c r="I4" s="6">
        <f>165/425</f>
        <v/>
      </c>
      <c r="J4" s="7" t="inlineStr">
        <is>
          <t>AAP</t>
        </is>
      </c>
      <c r="K4" s="5" t="n">
        <v>3</v>
      </c>
      <c r="L4" s="8">
        <f>I4-F4</f>
        <v/>
      </c>
      <c r="M4" s="5" t="n">
        <v>70</v>
      </c>
      <c r="N4" s="5" t="n">
        <v>425</v>
      </c>
    </row>
    <row r="5" ht="20" customHeight="1">
      <c r="A5" s="9" t="n">
        <v>4</v>
      </c>
      <c r="B5" s="10" t="inlineStr">
        <is>
          <t>Jatta</t>
        </is>
      </c>
      <c r="C5" s="10" t="inlineStr">
        <is>
          <t>ਜੱਟਾ</t>
        </is>
      </c>
      <c r="D5" s="11" t="inlineStr">
        <is>
          <t>Won Both Times (Stronghold)</t>
        </is>
      </c>
      <c r="E5" s="12" t="n">
        <v>290</v>
      </c>
      <c r="F5" s="13">
        <f>290/591</f>
        <v/>
      </c>
      <c r="G5" s="14" t="inlineStr">
        <is>
          <t>AAP</t>
        </is>
      </c>
      <c r="H5" s="12" t="n">
        <v>155</v>
      </c>
      <c r="I5" s="13">
        <f>155/452</f>
        <v/>
      </c>
      <c r="J5" s="14" t="inlineStr">
        <is>
          <t>AAP</t>
        </is>
      </c>
      <c r="K5" s="12" t="n">
        <v>-135</v>
      </c>
      <c r="L5" s="15">
        <f>I5-F5</f>
        <v/>
      </c>
      <c r="M5" s="12" t="n">
        <v>43</v>
      </c>
      <c r="N5" s="12" t="n">
        <v>452</v>
      </c>
    </row>
    <row r="6" ht="20" customHeight="1">
      <c r="A6" s="2" t="n">
        <v>5</v>
      </c>
      <c r="B6" s="3" t="inlineStr">
        <is>
          <t>Shahijada</t>
        </is>
      </c>
      <c r="C6" s="3" t="inlineStr">
        <is>
          <t>ਸ਼ਾਹਜ਼ਾਦਾ</t>
        </is>
      </c>
      <c r="D6" s="11" t="inlineStr">
        <is>
          <t>Won Both Times (Stronghold)</t>
        </is>
      </c>
      <c r="E6" s="5" t="n">
        <v>114</v>
      </c>
      <c r="F6" s="6">
        <f>114/322</f>
        <v/>
      </c>
      <c r="G6" s="7" t="inlineStr">
        <is>
          <t>AAP</t>
        </is>
      </c>
      <c r="H6" s="5" t="n">
        <v>121</v>
      </c>
      <c r="I6" s="6">
        <f>121/306</f>
        <v/>
      </c>
      <c r="J6" s="7" t="inlineStr">
        <is>
          <t>AAP</t>
        </is>
      </c>
      <c r="K6" s="5" t="n">
        <v>7</v>
      </c>
      <c r="L6" s="8">
        <f>I6-F6</f>
        <v/>
      </c>
      <c r="M6" s="5" t="n">
        <v>52</v>
      </c>
      <c r="N6" s="5" t="n">
        <v>306</v>
      </c>
    </row>
    <row r="7" ht="20" customHeight="1">
      <c r="A7" s="9" t="n">
        <v>6</v>
      </c>
      <c r="B7" s="10" t="inlineStr">
        <is>
          <t>Pashiyaan</t>
        </is>
      </c>
      <c r="C7" s="10" t="inlineStr">
        <is>
          <t>ਪਾਸ਼ੀਆ</t>
        </is>
      </c>
      <c r="D7" s="4" t="inlineStr">
        <is>
          <t>Gained in 2024 (New Win)</t>
        </is>
      </c>
      <c r="E7" s="12" t="n">
        <v>176</v>
      </c>
      <c r="F7" s="13">
        <f>176/562</f>
        <v/>
      </c>
      <c r="G7" s="14" t="inlineStr">
        <is>
          <t>INC</t>
        </is>
      </c>
      <c r="H7" s="12" t="n">
        <v>263</v>
      </c>
      <c r="I7" s="13">
        <f>263/537</f>
        <v/>
      </c>
      <c r="J7" s="14" t="inlineStr">
        <is>
          <t>AAP</t>
        </is>
      </c>
      <c r="K7" s="12" t="n">
        <v>87</v>
      </c>
      <c r="L7" s="15">
        <f>I7-F7</f>
        <v/>
      </c>
      <c r="M7" s="12" t="n">
        <v>106</v>
      </c>
      <c r="N7" s="12" t="n">
        <v>537</v>
      </c>
    </row>
    <row r="8" ht="20" customHeight="1">
      <c r="A8" s="2" t="n">
        <v>7</v>
      </c>
      <c r="B8" s="3" t="inlineStr">
        <is>
          <t>Nisoke</t>
        </is>
      </c>
      <c r="C8" s="3" t="inlineStr">
        <is>
          <t>ਨਿਸੋਕੇ</t>
        </is>
      </c>
      <c r="D8" s="11" t="inlineStr">
        <is>
          <t>Won Both Times (Stronghold)</t>
        </is>
      </c>
      <c r="E8" s="5" t="n">
        <v>119</v>
      </c>
      <c r="F8" s="6">
        <f>119/302</f>
        <v/>
      </c>
      <c r="G8" s="7" t="inlineStr">
        <is>
          <t>AAP</t>
        </is>
      </c>
      <c r="H8" s="5" t="n">
        <v>166</v>
      </c>
      <c r="I8" s="6">
        <f>166/307</f>
        <v/>
      </c>
      <c r="J8" s="7" t="inlineStr">
        <is>
          <t>AAP</t>
        </is>
      </c>
      <c r="K8" s="5" t="n">
        <v>47</v>
      </c>
      <c r="L8" s="8">
        <f>I8-F8</f>
        <v/>
      </c>
      <c r="M8" s="5" t="n">
        <v>116</v>
      </c>
      <c r="N8" s="5" t="n">
        <v>307</v>
      </c>
    </row>
    <row r="9" ht="20" customHeight="1">
      <c r="A9" s="9" t="n">
        <v>8</v>
      </c>
      <c r="B9" s="10" t="inlineStr">
        <is>
          <t>Pandori</t>
        </is>
      </c>
      <c r="C9" s="10" t="inlineStr">
        <is>
          <t>ਪੰਡੋਰੀ</t>
        </is>
      </c>
      <c r="D9" s="11" t="inlineStr">
        <is>
          <t>Won Both Times (Stronghold)</t>
        </is>
      </c>
      <c r="E9" s="12" t="n">
        <v>146</v>
      </c>
      <c r="F9" s="13">
        <f>146/261</f>
        <v/>
      </c>
      <c r="G9" s="14" t="inlineStr">
        <is>
          <t>AAP</t>
        </is>
      </c>
      <c r="H9" s="12" t="n">
        <v>196</v>
      </c>
      <c r="I9" s="13">
        <f>196/270</f>
        <v/>
      </c>
      <c r="J9" s="14" t="inlineStr">
        <is>
          <t>AAP</t>
        </is>
      </c>
      <c r="K9" s="12" t="n">
        <v>50</v>
      </c>
      <c r="L9" s="15">
        <f>I9-F9</f>
        <v/>
      </c>
      <c r="M9" s="12" t="n">
        <v>163</v>
      </c>
      <c r="N9" s="12" t="n">
        <v>270</v>
      </c>
    </row>
    <row r="10" ht="20" customHeight="1">
      <c r="A10" s="2" t="n">
        <v>9</v>
      </c>
      <c r="B10" s="3" t="inlineStr">
        <is>
          <t>Mahimad Mandra Wala</t>
        </is>
      </c>
      <c r="C10" s="3" t="inlineStr">
        <is>
          <t>ਮਹਿਮਦ ਮਾਂਦਰਾ ਵਾਲਾ</t>
        </is>
      </c>
      <c r="D10" s="11" t="inlineStr">
        <is>
          <t>Won Both Times (Stronghold)</t>
        </is>
      </c>
      <c r="E10" s="5" t="n">
        <v>292</v>
      </c>
      <c r="F10" s="6">
        <f>292/793</f>
        <v/>
      </c>
      <c r="G10" s="7" t="inlineStr">
        <is>
          <t>AAP</t>
        </is>
      </c>
      <c r="H10" s="5" t="n">
        <v>302</v>
      </c>
      <c r="I10" s="6">
        <f>302/758</f>
        <v/>
      </c>
      <c r="J10" s="7" t="inlineStr">
        <is>
          <t>AAP</t>
        </is>
      </c>
      <c r="K10" s="5" t="n">
        <v>10</v>
      </c>
      <c r="L10" s="8">
        <f>I10-F10</f>
        <v/>
      </c>
      <c r="M10" s="5" t="n">
        <v>136</v>
      </c>
      <c r="N10" s="5" t="n">
        <v>758</v>
      </c>
    </row>
    <row r="11" ht="20" customHeight="1">
      <c r="A11" s="9" t="n">
        <v>10</v>
      </c>
      <c r="B11" s="10" t="inlineStr">
        <is>
          <t>Mehmad Mandaran Wala</t>
        </is>
      </c>
      <c r="C11" s="10" t="inlineStr">
        <is>
          <t>ਮਹਿਮਦ ਮੰਦਰਾਂ ਵਾਲਾ</t>
        </is>
      </c>
      <c r="D11" s="4" t="inlineStr">
        <is>
          <t>Gained in 2024 (New Win)</t>
        </is>
      </c>
      <c r="E11" s="12" t="n">
        <v>63</v>
      </c>
      <c r="F11" s="13">
        <f>63/316</f>
        <v/>
      </c>
      <c r="G11" s="14" t="inlineStr">
        <is>
          <t>SAD</t>
        </is>
      </c>
      <c r="H11" s="12" t="n">
        <v>87</v>
      </c>
      <c r="I11" s="13">
        <f>87/293</f>
        <v/>
      </c>
      <c r="J11" s="14" t="inlineStr">
        <is>
          <t>AAP</t>
        </is>
      </c>
      <c r="K11" s="12" t="n">
        <v>24</v>
      </c>
      <c r="L11" s="15">
        <f>I11-F11</f>
        <v/>
      </c>
      <c r="M11" s="12" t="n">
        <v>19</v>
      </c>
      <c r="N11" s="12" t="n">
        <v>293</v>
      </c>
    </row>
    <row r="12" ht="20" customHeight="1">
      <c r="A12" s="2" t="n">
        <v>11</v>
      </c>
      <c r="B12" s="3" t="inlineStr">
        <is>
          <t>Singhoke</t>
        </is>
      </c>
      <c r="C12" s="3" t="inlineStr">
        <is>
          <t>ਸਿੰਘੋਕੇ</t>
        </is>
      </c>
      <c r="D12" s="16" t="inlineStr">
        <is>
          <t>Lost in 2024 (to SAD)</t>
        </is>
      </c>
      <c r="E12" s="5" t="n">
        <v>173</v>
      </c>
      <c r="F12" s="6">
        <f>173/431</f>
        <v/>
      </c>
      <c r="G12" s="7" t="inlineStr">
        <is>
          <t>AAP</t>
        </is>
      </c>
      <c r="H12" s="5" t="n">
        <v>62</v>
      </c>
      <c r="I12" s="6">
        <f>62/337</f>
        <v/>
      </c>
      <c r="J12" s="7" t="inlineStr">
        <is>
          <t>SAD</t>
        </is>
      </c>
      <c r="K12" s="5" t="n">
        <v>-111</v>
      </c>
      <c r="L12" s="8">
        <f>I12-F12</f>
        <v/>
      </c>
      <c r="M12" s="5" t="n">
        <v>24</v>
      </c>
      <c r="N12" s="5" t="n">
        <v>337</v>
      </c>
    </row>
    <row r="13" ht="20" customHeight="1">
      <c r="A13" s="9" t="n">
        <v>12</v>
      </c>
      <c r="B13" s="10" t="inlineStr">
        <is>
          <t>Ghumrai</t>
        </is>
      </c>
      <c r="C13" s="10" t="inlineStr">
        <is>
          <t>ਘੁਮਰਾਈ</t>
        </is>
      </c>
      <c r="D13" s="17" t="inlineStr">
        <is>
          <t>Lost Both Times (Deficit)</t>
        </is>
      </c>
      <c r="E13" s="12" t="n">
        <v>124</v>
      </c>
      <c r="F13" s="13">
        <f>124/562</f>
        <v/>
      </c>
      <c r="G13" s="14" t="inlineStr">
        <is>
          <t>SAD</t>
        </is>
      </c>
      <c r="H13" s="12" t="n">
        <v>127</v>
      </c>
      <c r="I13" s="13">
        <f>127/499</f>
        <v/>
      </c>
      <c r="J13" s="14" t="inlineStr">
        <is>
          <t>INC</t>
        </is>
      </c>
      <c r="K13" s="12" t="n">
        <v>3</v>
      </c>
      <c r="L13" s="15">
        <f>I13-F13</f>
        <v/>
      </c>
      <c r="M13" s="12" t="n">
        <v>7</v>
      </c>
      <c r="N13" s="12" t="n">
        <v>499</v>
      </c>
    </row>
    <row r="14" ht="20" customHeight="1">
      <c r="A14" s="2" t="n">
        <v>13</v>
      </c>
      <c r="B14" s="3" t="inlineStr">
        <is>
          <t>Nangal Sohal</t>
        </is>
      </c>
      <c r="C14" s="3" t="inlineStr">
        <is>
          <t>ਨੰਗਲ ਸੋਹਲ</t>
        </is>
      </c>
      <c r="D14" s="11" t="inlineStr">
        <is>
          <t>Won Both Times (Stronghold)</t>
        </is>
      </c>
      <c r="E14" s="5" t="n">
        <v>253</v>
      </c>
      <c r="F14" s="6">
        <f>253/709</f>
        <v/>
      </c>
      <c r="G14" s="7" t="inlineStr">
        <is>
          <t>AAP</t>
        </is>
      </c>
      <c r="H14" s="5" t="n">
        <v>189</v>
      </c>
      <c r="I14" s="6">
        <f>189/572</f>
        <v/>
      </c>
      <c r="J14" s="7" t="inlineStr">
        <is>
          <t>AAP</t>
        </is>
      </c>
      <c r="K14" s="5" t="n">
        <v>-64</v>
      </c>
      <c r="L14" s="8">
        <f>I14-F14</f>
        <v/>
      </c>
      <c r="M14" s="5" t="n">
        <v>40</v>
      </c>
      <c r="N14" s="5" t="n">
        <v>572</v>
      </c>
    </row>
    <row r="15" ht="20" customHeight="1">
      <c r="A15" s="9" t="n">
        <v>14</v>
      </c>
      <c r="B15" s="10" t="inlineStr">
        <is>
          <t>Dariya Musa</t>
        </is>
      </c>
      <c r="C15" s="10" t="inlineStr">
        <is>
          <t>ਦਰਿਆ ਮੂਸਾ</t>
        </is>
      </c>
      <c r="D15" s="11" t="inlineStr">
        <is>
          <t>Won Both Times (Stronghold)</t>
        </is>
      </c>
      <c r="E15" s="12" t="n">
        <v>278</v>
      </c>
      <c r="F15" s="13">
        <f>278/492</f>
        <v/>
      </c>
      <c r="G15" s="14" t="inlineStr">
        <is>
          <t>AAP</t>
        </is>
      </c>
      <c r="H15" s="12" t="n">
        <v>263</v>
      </c>
      <c r="I15" s="13">
        <f>263/412</f>
        <v/>
      </c>
      <c r="J15" s="14" t="inlineStr">
        <is>
          <t>AAP</t>
        </is>
      </c>
      <c r="K15" s="12" t="n">
        <v>-15</v>
      </c>
      <c r="L15" s="15">
        <f>I15-F15</f>
        <v/>
      </c>
      <c r="M15" s="12" t="n">
        <v>200</v>
      </c>
      <c r="N15" s="12" t="n">
        <v>412</v>
      </c>
    </row>
    <row r="16" ht="20" customHeight="1">
      <c r="A16" s="2" t="n">
        <v>15</v>
      </c>
      <c r="B16" s="3" t="inlineStr">
        <is>
          <t>Katle</t>
        </is>
      </c>
      <c r="C16" s="3" t="inlineStr">
        <is>
          <t>ਕਤਲੇ</t>
        </is>
      </c>
      <c r="D16" s="18" t="inlineStr">
        <is>
          <t>Weak Booth (&lt; 20% Share)</t>
        </is>
      </c>
      <c r="E16" s="5" t="n">
        <v>128</v>
      </c>
      <c r="F16" s="6">
        <f>128/558</f>
        <v/>
      </c>
      <c r="G16" s="7" t="inlineStr">
        <is>
          <t>INC</t>
        </is>
      </c>
      <c r="H16" s="5" t="n">
        <v>86</v>
      </c>
      <c r="I16" s="6">
        <f>86/466</f>
        <v/>
      </c>
      <c r="J16" s="7" t="inlineStr">
        <is>
          <t>INC</t>
        </is>
      </c>
      <c r="K16" s="5" t="n">
        <v>-42</v>
      </c>
      <c r="L16" s="8">
        <f>I16-F16</f>
        <v/>
      </c>
      <c r="M16" s="5" t="n">
        <v>111</v>
      </c>
      <c r="N16" s="5" t="n">
        <v>466</v>
      </c>
    </row>
    <row r="17" ht="20" customHeight="1">
      <c r="A17" s="9" t="n">
        <v>16</v>
      </c>
      <c r="B17" s="10" t="inlineStr">
        <is>
          <t>Ramdas (Ward 1)</t>
        </is>
      </c>
      <c r="C17" s="10" t="inlineStr">
        <is>
          <t>ਰਾਮਦਾਸ (ਵਾਰਡ 1)</t>
        </is>
      </c>
      <c r="D17" s="16" t="inlineStr">
        <is>
          <t>Lost in 2024 (to BJP)</t>
        </is>
      </c>
      <c r="E17" s="12" t="n">
        <v>289</v>
      </c>
      <c r="F17" s="13">
        <f>289/704</f>
        <v/>
      </c>
      <c r="G17" s="14" t="inlineStr">
        <is>
          <t>AAP</t>
        </is>
      </c>
      <c r="H17" s="12" t="n">
        <v>151</v>
      </c>
      <c r="I17" s="13">
        <f>151/615</f>
        <v/>
      </c>
      <c r="J17" s="14" t="inlineStr">
        <is>
          <t>BJP</t>
        </is>
      </c>
      <c r="K17" s="12" t="n">
        <v>-138</v>
      </c>
      <c r="L17" s="15">
        <f>I17-F17</f>
        <v/>
      </c>
      <c r="M17" s="12" t="n">
        <v>12</v>
      </c>
      <c r="N17" s="12" t="n">
        <v>615</v>
      </c>
    </row>
    <row r="18" ht="20" customHeight="1">
      <c r="A18" s="2" t="n">
        <v>17</v>
      </c>
      <c r="B18" s="3" t="inlineStr">
        <is>
          <t>Ramdas (Ward 2)</t>
        </is>
      </c>
      <c r="C18" s="3" t="inlineStr">
        <is>
          <t>ਰਾਮਦਾਸ (ਵਾਰਡ 2)</t>
        </is>
      </c>
      <c r="D18" s="11" t="inlineStr">
        <is>
          <t>Won Both Times (Stronghold)</t>
        </is>
      </c>
      <c r="E18" s="5" t="n">
        <v>283</v>
      </c>
      <c r="F18" s="6">
        <f>283/819</f>
        <v/>
      </c>
      <c r="G18" s="7" t="inlineStr">
        <is>
          <t>AAP</t>
        </is>
      </c>
      <c r="H18" s="5" t="n">
        <v>206</v>
      </c>
      <c r="I18" s="6">
        <f>206/670</f>
        <v/>
      </c>
      <c r="J18" s="7" t="inlineStr">
        <is>
          <t>AAP</t>
        </is>
      </c>
      <c r="K18" s="5" t="n">
        <v>-77</v>
      </c>
      <c r="L18" s="8">
        <f>I18-F18</f>
        <v/>
      </c>
      <c r="M18" s="5" t="n">
        <v>43</v>
      </c>
      <c r="N18" s="5" t="n">
        <v>670</v>
      </c>
    </row>
    <row r="19" ht="20" customHeight="1">
      <c r="A19" s="9" t="n">
        <v>18</v>
      </c>
      <c r="B19" s="10" t="inlineStr">
        <is>
          <t>Ramdas (Ward 3)</t>
        </is>
      </c>
      <c r="C19" s="10" t="inlineStr">
        <is>
          <t>ਰਾਮਦਾਸ (ਵਾਰਡ 3)</t>
        </is>
      </c>
      <c r="D19" s="11" t="inlineStr">
        <is>
          <t>Won Both Times (Stronghold)</t>
        </is>
      </c>
      <c r="E19" s="12" t="n">
        <v>294</v>
      </c>
      <c r="F19" s="13">
        <f>294/773</f>
        <v/>
      </c>
      <c r="G19" s="14" t="inlineStr">
        <is>
          <t>AAP</t>
        </is>
      </c>
      <c r="H19" s="12" t="n">
        <v>223</v>
      </c>
      <c r="I19" s="13">
        <f>223/685</f>
        <v/>
      </c>
      <c r="J19" s="14" t="inlineStr">
        <is>
          <t>AAP</t>
        </is>
      </c>
      <c r="K19" s="12" t="n">
        <v>-71</v>
      </c>
      <c r="L19" s="15">
        <f>I19-F19</f>
        <v/>
      </c>
      <c r="M19" s="12" t="n">
        <v>59</v>
      </c>
      <c r="N19" s="12" t="n">
        <v>685</v>
      </c>
    </row>
    <row r="20" ht="20" customHeight="1">
      <c r="A20" s="2" t="n">
        <v>19</v>
      </c>
      <c r="B20" s="3" t="inlineStr">
        <is>
          <t>Ramdas (Ward 4)</t>
        </is>
      </c>
      <c r="C20" s="3" t="inlineStr">
        <is>
          <t>ਰਾਮਦਾਸ (ਵਾਰਡ 4)</t>
        </is>
      </c>
      <c r="D20" s="16" t="inlineStr">
        <is>
          <t>Lost in 2024 (to INC)</t>
        </is>
      </c>
      <c r="E20" s="5" t="n">
        <v>346</v>
      </c>
      <c r="F20" s="6">
        <f>346/803</f>
        <v/>
      </c>
      <c r="G20" s="7" t="inlineStr">
        <is>
          <t>AAP</t>
        </is>
      </c>
      <c r="H20" s="5" t="n">
        <v>118</v>
      </c>
      <c r="I20" s="6">
        <f>118/647</f>
        <v/>
      </c>
      <c r="J20" s="7" t="inlineStr">
        <is>
          <t>INC</t>
        </is>
      </c>
      <c r="K20" s="5" t="n">
        <v>-228</v>
      </c>
      <c r="L20" s="8">
        <f>I20-F20</f>
        <v/>
      </c>
      <c r="M20" s="5" t="n">
        <v>12</v>
      </c>
      <c r="N20" s="5" t="n">
        <v>647</v>
      </c>
    </row>
    <row r="21" ht="20" customHeight="1">
      <c r="A21" s="9" t="n">
        <v>20</v>
      </c>
      <c r="B21" s="10" t="inlineStr">
        <is>
          <t>Ramdas (Bauli)</t>
        </is>
      </c>
      <c r="C21" s="10" t="inlineStr">
        <is>
          <t>ਰਾਮਦਾਸ (ਬਾਉਲੀ)</t>
        </is>
      </c>
      <c r="D21" s="4" t="inlineStr">
        <is>
          <t>Gained in 2024 (New Win)</t>
        </is>
      </c>
      <c r="E21" s="12" t="n">
        <v>79</v>
      </c>
      <c r="F21" s="13">
        <f>79/508</f>
        <v/>
      </c>
      <c r="G21" s="14" t="inlineStr">
        <is>
          <t>INC</t>
        </is>
      </c>
      <c r="H21" s="12" t="n">
        <v>146</v>
      </c>
      <c r="I21" s="13">
        <f>146/448</f>
        <v/>
      </c>
      <c r="J21" s="14" t="inlineStr">
        <is>
          <t>AAP</t>
        </is>
      </c>
      <c r="K21" s="12" t="n">
        <v>67</v>
      </c>
      <c r="L21" s="15">
        <f>I21-F21</f>
        <v/>
      </c>
      <c r="M21" s="12" t="n">
        <v>15</v>
      </c>
      <c r="N21" s="12" t="n">
        <v>448</v>
      </c>
    </row>
    <row r="22" ht="20" customHeight="1">
      <c r="A22" s="2" t="n">
        <v>21</v>
      </c>
      <c r="B22" s="3" t="inlineStr">
        <is>
          <t>Araya</t>
        </is>
      </c>
      <c r="C22" s="3" t="inlineStr">
        <is>
          <t>ਅਰਾਇਆਂ</t>
        </is>
      </c>
      <c r="D22" s="17" t="inlineStr">
        <is>
          <t>Lost Both Times (Deficit)</t>
        </is>
      </c>
      <c r="E22" s="5" t="n">
        <v>124</v>
      </c>
      <c r="F22" s="6">
        <f>124/341</f>
        <v/>
      </c>
      <c r="G22" s="7" t="inlineStr">
        <is>
          <t>INC</t>
        </is>
      </c>
      <c r="H22" s="5" t="n">
        <v>120</v>
      </c>
      <c r="I22" s="6">
        <f>120/329</f>
        <v/>
      </c>
      <c r="J22" s="7" t="inlineStr">
        <is>
          <t>INC</t>
        </is>
      </c>
      <c r="K22" s="5" t="n">
        <v>-4</v>
      </c>
      <c r="L22" s="8">
        <f>I22-F22</f>
        <v/>
      </c>
      <c r="M22" s="5" t="n">
        <v>2</v>
      </c>
      <c r="N22" s="5" t="n">
        <v>329</v>
      </c>
    </row>
    <row r="23" ht="20" customHeight="1">
      <c r="A23" s="9" t="n">
        <v>22</v>
      </c>
      <c r="B23" s="10" t="inlineStr">
        <is>
          <t>Awaan (Near Ramdas)</t>
        </is>
      </c>
      <c r="C23" s="10" t="inlineStr">
        <is>
          <t>ਅਵਾਨ (ਨੇੜੇ ਰਾਮਦਾਸ)</t>
        </is>
      </c>
      <c r="D23" s="11" t="inlineStr">
        <is>
          <t>Won Both Times (Stronghold)</t>
        </is>
      </c>
      <c r="E23" s="12" t="n">
        <v>406</v>
      </c>
      <c r="F23" s="13">
        <f>406/935</f>
        <v/>
      </c>
      <c r="G23" s="14" t="inlineStr">
        <is>
          <t>AAP</t>
        </is>
      </c>
      <c r="H23" s="12" t="n">
        <v>327</v>
      </c>
      <c r="I23" s="13">
        <f>327/755</f>
        <v/>
      </c>
      <c r="J23" s="14" t="inlineStr">
        <is>
          <t>AAP</t>
        </is>
      </c>
      <c r="K23" s="12" t="n">
        <v>-79</v>
      </c>
      <c r="L23" s="15">
        <f>I23-F23</f>
        <v/>
      </c>
      <c r="M23" s="12" t="n">
        <v>128</v>
      </c>
      <c r="N23" s="12" t="n">
        <v>755</v>
      </c>
    </row>
    <row r="24" ht="20" customHeight="1">
      <c r="A24" s="2" t="n">
        <v>23</v>
      </c>
      <c r="B24" s="3" t="inlineStr">
        <is>
          <t>Awaan (Near Ramdas)</t>
        </is>
      </c>
      <c r="C24" s="3" t="inlineStr">
        <is>
          <t>ਅਵਾਨ (ਨੇੜੇ ਰਾਮਦਾਸ)</t>
        </is>
      </c>
      <c r="D24" s="11" t="inlineStr">
        <is>
          <t>Won Both Times (Stronghold)</t>
        </is>
      </c>
      <c r="E24" s="5" t="n">
        <v>209</v>
      </c>
      <c r="F24" s="6">
        <f>209/768</f>
        <v/>
      </c>
      <c r="G24" s="7" t="inlineStr">
        <is>
          <t>AAP</t>
        </is>
      </c>
      <c r="H24" s="5" t="n">
        <v>263</v>
      </c>
      <c r="I24" s="6">
        <f>263/616</f>
        <v/>
      </c>
      <c r="J24" s="7" t="inlineStr">
        <is>
          <t>AAP</t>
        </is>
      </c>
      <c r="K24" s="5" t="n">
        <v>54</v>
      </c>
      <c r="L24" s="8">
        <f>I24-F24</f>
        <v/>
      </c>
      <c r="M24" s="5" t="n">
        <v>157</v>
      </c>
      <c r="N24" s="5" t="n">
        <v>616</v>
      </c>
    </row>
    <row r="25" ht="20" customHeight="1">
      <c r="A25" s="9" t="n">
        <v>24</v>
      </c>
      <c r="B25" s="10" t="inlineStr">
        <is>
          <t>Pairewal</t>
        </is>
      </c>
      <c r="C25" s="10" t="inlineStr">
        <is>
          <t>ਪੈਰੇਵਾਲ</t>
        </is>
      </c>
      <c r="D25" s="4" t="inlineStr">
        <is>
          <t>Gained in 2024 (New Win)</t>
        </is>
      </c>
      <c r="E25" s="12" t="n">
        <v>169</v>
      </c>
      <c r="F25" s="13">
        <f>169/524</f>
        <v/>
      </c>
      <c r="G25" s="14" t="inlineStr">
        <is>
          <t>INC</t>
        </is>
      </c>
      <c r="H25" s="12" t="n">
        <v>288</v>
      </c>
      <c r="I25" s="13">
        <f>288/472</f>
        <v/>
      </c>
      <c r="J25" s="14" t="inlineStr">
        <is>
          <t>AAP</t>
        </is>
      </c>
      <c r="K25" s="12" t="n">
        <v>119</v>
      </c>
      <c r="L25" s="15">
        <f>I25-F25</f>
        <v/>
      </c>
      <c r="M25" s="12" t="n">
        <v>226</v>
      </c>
      <c r="N25" s="12" t="n">
        <v>472</v>
      </c>
    </row>
    <row r="26" ht="20" customHeight="1">
      <c r="A26" s="2" t="n">
        <v>25</v>
      </c>
      <c r="B26" s="3" t="inlineStr">
        <is>
          <t>Lakhuwal</t>
        </is>
      </c>
      <c r="C26" s="3" t="inlineStr">
        <is>
          <t>ਲਖੂਵਾਲ</t>
        </is>
      </c>
      <c r="D26" s="11" t="inlineStr">
        <is>
          <t>Won Both Times (Stronghold)</t>
        </is>
      </c>
      <c r="E26" s="5" t="n">
        <v>152</v>
      </c>
      <c r="F26" s="6">
        <f>152/379</f>
        <v/>
      </c>
      <c r="G26" s="7" t="inlineStr">
        <is>
          <t>AAP</t>
        </is>
      </c>
      <c r="H26" s="5" t="n">
        <v>207</v>
      </c>
      <c r="I26" s="6">
        <f>207/367</f>
        <v/>
      </c>
      <c r="J26" s="7" t="inlineStr">
        <is>
          <t>AAP</t>
        </is>
      </c>
      <c r="K26" s="5" t="n">
        <v>55</v>
      </c>
      <c r="L26" s="8">
        <f>I26-F26</f>
        <v/>
      </c>
      <c r="M26" s="5" t="n">
        <v>144</v>
      </c>
      <c r="N26" s="5" t="n">
        <v>367</v>
      </c>
    </row>
    <row r="27" ht="20" customHeight="1">
      <c r="A27" s="9" t="n">
        <v>26</v>
      </c>
      <c r="B27" s="10" t="inlineStr">
        <is>
          <t>Malakpur</t>
        </is>
      </c>
      <c r="C27" s="10" t="inlineStr">
        <is>
          <t>ਮਲਕਪੁਰ</t>
        </is>
      </c>
      <c r="D27" s="11" t="inlineStr">
        <is>
          <t>Won Both Times (Stronghold)</t>
        </is>
      </c>
      <c r="E27" s="12" t="n">
        <v>368</v>
      </c>
      <c r="F27" s="13">
        <f>368/778</f>
        <v/>
      </c>
      <c r="G27" s="14" t="inlineStr">
        <is>
          <t>AAP</t>
        </is>
      </c>
      <c r="H27" s="12" t="n">
        <v>202</v>
      </c>
      <c r="I27" s="13">
        <f>202/615</f>
        <v/>
      </c>
      <c r="J27" s="14" t="inlineStr">
        <is>
          <t>AAP</t>
        </is>
      </c>
      <c r="K27" s="12" t="n">
        <v>-166</v>
      </c>
      <c r="L27" s="15">
        <f>I27-F27</f>
        <v/>
      </c>
      <c r="M27" s="12" t="n">
        <v>52</v>
      </c>
      <c r="N27" s="12" t="n">
        <v>615</v>
      </c>
    </row>
    <row r="28" ht="20" customHeight="1">
      <c r="A28" s="2" t="n">
        <v>27</v>
      </c>
      <c r="B28" s="3" t="inlineStr">
        <is>
          <t>Thoba</t>
        </is>
      </c>
      <c r="C28" s="3" t="inlineStr">
        <is>
          <t>ਥੋਬਾ</t>
        </is>
      </c>
      <c r="D28" s="17" t="inlineStr">
        <is>
          <t>Lost Both Times (Deficit)</t>
        </is>
      </c>
      <c r="E28" s="5" t="n">
        <v>185</v>
      </c>
      <c r="F28" s="6">
        <f>185/683</f>
        <v/>
      </c>
      <c r="G28" s="7" t="inlineStr">
        <is>
          <t>INC</t>
        </is>
      </c>
      <c r="H28" s="5" t="n">
        <v>120</v>
      </c>
      <c r="I28" s="6">
        <f>120/586</f>
        <v/>
      </c>
      <c r="J28" s="7" t="inlineStr">
        <is>
          <t>BJP</t>
        </is>
      </c>
      <c r="K28" s="5" t="n">
        <v>-65</v>
      </c>
      <c r="L28" s="8">
        <f>I28-F28</f>
        <v/>
      </c>
      <c r="M28" s="5" t="n">
        <v>32</v>
      </c>
      <c r="N28" s="5" t="n">
        <v>586</v>
      </c>
    </row>
    <row r="29" ht="20" customHeight="1">
      <c r="A29" s="9" t="n">
        <v>28</v>
      </c>
      <c r="B29" s="10" t="inlineStr">
        <is>
          <t>Thoba</t>
        </is>
      </c>
      <c r="C29" s="10" t="inlineStr">
        <is>
          <t>ਥੋਬਾ</t>
        </is>
      </c>
      <c r="D29" s="11" t="inlineStr">
        <is>
          <t>Won Both Times (Stronghold)</t>
        </is>
      </c>
      <c r="E29" s="12" t="n">
        <v>361</v>
      </c>
      <c r="F29" s="13">
        <f>361/784</f>
        <v/>
      </c>
      <c r="G29" s="14" t="inlineStr">
        <is>
          <t>AAP</t>
        </is>
      </c>
      <c r="H29" s="12" t="n">
        <v>226</v>
      </c>
      <c r="I29" s="13">
        <f>226/641</f>
        <v/>
      </c>
      <c r="J29" s="14" t="inlineStr">
        <is>
          <t>AAP</t>
        </is>
      </c>
      <c r="K29" s="12" t="n">
        <v>-135</v>
      </c>
      <c r="L29" s="15">
        <f>I29-F29</f>
        <v/>
      </c>
      <c r="M29" s="12" t="n">
        <v>111</v>
      </c>
      <c r="N29" s="12" t="n">
        <v>641</v>
      </c>
    </row>
    <row r="30" ht="20" customHeight="1">
      <c r="A30" s="2" t="n">
        <v>29</v>
      </c>
      <c r="B30" s="3" t="inlineStr">
        <is>
          <t>Dujo Wal</t>
        </is>
      </c>
      <c r="C30" s="3" t="inlineStr">
        <is>
          <t>ਦੁਜੋਵਾਲ</t>
        </is>
      </c>
      <c r="D30" s="17" t="inlineStr">
        <is>
          <t>Lost Both Times (Deficit)</t>
        </is>
      </c>
      <c r="E30" s="5" t="n">
        <v>217</v>
      </c>
      <c r="F30" s="6">
        <f>217/838</f>
        <v/>
      </c>
      <c r="G30" s="7" t="inlineStr">
        <is>
          <t>SAD</t>
        </is>
      </c>
      <c r="H30" s="5" t="n">
        <v>195</v>
      </c>
      <c r="I30" s="6">
        <f>195/803</f>
        <v/>
      </c>
      <c r="J30" s="7" t="inlineStr">
        <is>
          <t>INC</t>
        </is>
      </c>
      <c r="K30" s="5" t="n">
        <v>-22</v>
      </c>
      <c r="L30" s="8">
        <f>I30-F30</f>
        <v/>
      </c>
      <c r="M30" s="5" t="n">
        <v>54</v>
      </c>
      <c r="N30" s="5" t="n">
        <v>803</v>
      </c>
    </row>
    <row r="31" ht="20" customHeight="1">
      <c r="A31" s="9" t="n">
        <v>30</v>
      </c>
      <c r="B31" s="10" t="inlineStr">
        <is>
          <t>Duharia</t>
        </is>
      </c>
      <c r="C31" s="10" t="inlineStr">
        <is>
          <t>ਦੁਹਾਰੀਆ</t>
        </is>
      </c>
      <c r="D31" s="16" t="inlineStr">
        <is>
          <t>Lost in 2024 (to INC)</t>
        </is>
      </c>
      <c r="E31" s="12" t="n">
        <v>218</v>
      </c>
      <c r="F31" s="13">
        <f>218/517</f>
        <v/>
      </c>
      <c r="G31" s="14" t="inlineStr">
        <is>
          <t>AAP</t>
        </is>
      </c>
      <c r="H31" s="12" t="n">
        <v>158</v>
      </c>
      <c r="I31" s="13">
        <f>158/463</f>
        <v/>
      </c>
      <c r="J31" s="14" t="inlineStr">
        <is>
          <t>INC</t>
        </is>
      </c>
      <c r="K31" s="12" t="n">
        <v>-60</v>
      </c>
      <c r="L31" s="15">
        <f>I31-F31</f>
        <v/>
      </c>
      <c r="M31" s="12" t="n">
        <v>32</v>
      </c>
      <c r="N31" s="12" t="n">
        <v>463</v>
      </c>
    </row>
    <row r="32" ht="20" customHeight="1">
      <c r="A32" s="2" t="n">
        <v>31</v>
      </c>
      <c r="B32" s="3" t="inlineStr">
        <is>
          <t>Kallo Mahal</t>
        </is>
      </c>
      <c r="C32" s="3" t="inlineStr">
        <is>
          <t>ਕੱਲੋ ਮਾਹਲ</t>
        </is>
      </c>
      <c r="D32" s="18" t="inlineStr">
        <is>
          <t>Weak Booth (&lt; 20% Share)</t>
        </is>
      </c>
      <c r="E32" s="5" t="n">
        <v>47</v>
      </c>
      <c r="F32" s="6">
        <f>47/361</f>
        <v/>
      </c>
      <c r="G32" s="7" t="inlineStr">
        <is>
          <t>SAD</t>
        </is>
      </c>
      <c r="H32" s="5" t="n">
        <v>61</v>
      </c>
      <c r="I32" s="6">
        <f>61/309</f>
        <v/>
      </c>
      <c r="J32" s="7" t="inlineStr">
        <is>
          <t>INC</t>
        </is>
      </c>
      <c r="K32" s="5" t="n">
        <v>14</v>
      </c>
      <c r="L32" s="8">
        <f>I32-F32</f>
        <v/>
      </c>
      <c r="M32" s="5" t="n">
        <v>55</v>
      </c>
      <c r="N32" s="5" t="n">
        <v>309</v>
      </c>
    </row>
    <row r="33" ht="20" customHeight="1">
      <c r="A33" s="9" t="n">
        <v>32</v>
      </c>
      <c r="B33" s="10" t="inlineStr">
        <is>
          <t>Sultan Mahal</t>
        </is>
      </c>
      <c r="C33" s="10" t="inlineStr">
        <is>
          <t>ਸੁਲਤਾਨ ਮਾਹਲ</t>
        </is>
      </c>
      <c r="D33" s="11" t="inlineStr">
        <is>
          <t>Won Both Times (Stronghold)</t>
        </is>
      </c>
      <c r="E33" s="12" t="n">
        <v>232</v>
      </c>
      <c r="F33" s="13">
        <f>232/598</f>
        <v/>
      </c>
      <c r="G33" s="14" t="inlineStr">
        <is>
          <t>AAP</t>
        </is>
      </c>
      <c r="H33" s="12" t="n">
        <v>190</v>
      </c>
      <c r="I33" s="13">
        <f>190/510</f>
        <v/>
      </c>
      <c r="J33" s="14" t="inlineStr">
        <is>
          <t>AAP</t>
        </is>
      </c>
      <c r="K33" s="12" t="n">
        <v>-42</v>
      </c>
      <c r="L33" s="15">
        <f>I33-F33</f>
        <v/>
      </c>
      <c r="M33" s="12" t="n">
        <v>34</v>
      </c>
      <c r="N33" s="12" t="n">
        <v>510</v>
      </c>
    </row>
    <row r="34" ht="20" customHeight="1">
      <c r="A34" s="2" t="n">
        <v>33</v>
      </c>
      <c r="B34" s="3" t="inlineStr">
        <is>
          <t>Suffian</t>
        </is>
      </c>
      <c r="C34" s="3" t="inlineStr">
        <is>
          <t>ਸੂਫ਼ੀਆਂ</t>
        </is>
      </c>
      <c r="D34" s="4" t="inlineStr">
        <is>
          <t>Gained in 2024 (New Win)</t>
        </is>
      </c>
      <c r="E34" s="5" t="n">
        <v>143</v>
      </c>
      <c r="F34" s="6">
        <f>143/512</f>
        <v/>
      </c>
      <c r="G34" s="7" t="inlineStr">
        <is>
          <t>INC</t>
        </is>
      </c>
      <c r="H34" s="5" t="n">
        <v>165</v>
      </c>
      <c r="I34" s="6">
        <f>165/533</f>
        <v/>
      </c>
      <c r="J34" s="7" t="inlineStr">
        <is>
          <t>AAP</t>
        </is>
      </c>
      <c r="K34" s="5" t="n">
        <v>22</v>
      </c>
      <c r="L34" s="8">
        <f>I34-F34</f>
        <v/>
      </c>
      <c r="M34" s="5" t="n">
        <v>2</v>
      </c>
      <c r="N34" s="5" t="n">
        <v>533</v>
      </c>
    </row>
    <row r="35" ht="20" customHeight="1">
      <c r="A35" s="9" t="n">
        <v>34</v>
      </c>
      <c r="B35" s="10" t="inlineStr">
        <is>
          <t>Kot Rajada</t>
        </is>
      </c>
      <c r="C35" s="10" t="inlineStr">
        <is>
          <t>ਕੋਟ ਰਜਾਦਾ</t>
        </is>
      </c>
      <c r="D35" s="4" t="inlineStr">
        <is>
          <t>Gained in 2024 (New Win)</t>
        </is>
      </c>
      <c r="E35" s="12" t="n">
        <v>140</v>
      </c>
      <c r="F35" s="13">
        <f>140/699</f>
        <v/>
      </c>
      <c r="G35" s="14" t="inlineStr">
        <is>
          <t>SAD</t>
        </is>
      </c>
      <c r="H35" s="12" t="n">
        <v>235</v>
      </c>
      <c r="I35" s="13">
        <f>235/684</f>
        <v/>
      </c>
      <c r="J35" s="14" t="inlineStr">
        <is>
          <t>AAP</t>
        </is>
      </c>
      <c r="K35" s="12" t="n">
        <v>95</v>
      </c>
      <c r="L35" s="15">
        <f>I35-F35</f>
        <v/>
      </c>
      <c r="M35" s="12" t="n">
        <v>64</v>
      </c>
      <c r="N35" s="12" t="n">
        <v>684</v>
      </c>
    </row>
    <row r="36" ht="20" customHeight="1">
      <c r="A36" s="2" t="n">
        <v>35</v>
      </c>
      <c r="B36" s="3" t="inlineStr">
        <is>
          <t>Chaharhpur</t>
        </is>
      </c>
      <c r="C36" s="3" t="inlineStr">
        <is>
          <t>ਚਾਹੜਪੁਰ</t>
        </is>
      </c>
      <c r="D36" s="11" t="inlineStr">
        <is>
          <t>Won Both Times (Stronghold)</t>
        </is>
      </c>
      <c r="E36" s="5" t="n">
        <v>217</v>
      </c>
      <c r="F36" s="6">
        <f>217/686</f>
        <v/>
      </c>
      <c r="G36" s="7" t="inlineStr">
        <is>
          <t>AAP</t>
        </is>
      </c>
      <c r="H36" s="5" t="n">
        <v>355</v>
      </c>
      <c r="I36" s="6">
        <f>355/662</f>
        <v/>
      </c>
      <c r="J36" s="7" t="inlineStr">
        <is>
          <t>AAP</t>
        </is>
      </c>
      <c r="K36" s="5" t="n">
        <v>138</v>
      </c>
      <c r="L36" s="8">
        <f>I36-F36</f>
        <v/>
      </c>
      <c r="M36" s="5" t="n">
        <v>139</v>
      </c>
      <c r="N36" s="5" t="n">
        <v>662</v>
      </c>
    </row>
    <row r="37" ht="20" customHeight="1">
      <c r="A37" s="9" t="n">
        <v>36</v>
      </c>
      <c r="B37" s="10" t="inlineStr">
        <is>
          <t>Diyal Bhati</t>
        </is>
      </c>
      <c r="C37" s="10" t="inlineStr">
        <is>
          <t>ਦਿਆਲ ਭੱਟੀ</t>
        </is>
      </c>
      <c r="D37" s="17" t="inlineStr">
        <is>
          <t>Lost Both Times (Deficit)</t>
        </is>
      </c>
      <c r="E37" s="12" t="n">
        <v>236</v>
      </c>
      <c r="F37" s="13">
        <f>236/923</f>
        <v/>
      </c>
      <c r="G37" s="14" t="inlineStr">
        <is>
          <t>INC</t>
        </is>
      </c>
      <c r="H37" s="12" t="n">
        <v>155</v>
      </c>
      <c r="I37" s="13">
        <f>155/766</f>
        <v/>
      </c>
      <c r="J37" s="14" t="inlineStr">
        <is>
          <t>INC</t>
        </is>
      </c>
      <c r="K37" s="12" t="n">
        <v>-81</v>
      </c>
      <c r="L37" s="15">
        <f>I37-F37</f>
        <v/>
      </c>
      <c r="M37" s="12" t="n">
        <v>212</v>
      </c>
      <c r="N37" s="12" t="n">
        <v>766</v>
      </c>
    </row>
    <row r="38" ht="20" customHeight="1">
      <c r="A38" s="2" t="n">
        <v>37</v>
      </c>
      <c r="B38" s="3" t="inlineStr">
        <is>
          <t>Dial Bhatti</t>
        </is>
      </c>
      <c r="C38" s="3" t="inlineStr">
        <is>
          <t>ਦਿਆਲ ਭੱਟੀ</t>
        </is>
      </c>
      <c r="D38" s="16" t="inlineStr">
        <is>
          <t>Lost in 2024 (to INC)</t>
        </is>
      </c>
      <c r="E38" s="5" t="n">
        <v>154</v>
      </c>
      <c r="F38" s="6">
        <f>154/401</f>
        <v/>
      </c>
      <c r="G38" s="7" t="inlineStr">
        <is>
          <t>AAP</t>
        </is>
      </c>
      <c r="H38" s="5" t="n">
        <v>111</v>
      </c>
      <c r="I38" s="6">
        <f>111/353</f>
        <v/>
      </c>
      <c r="J38" s="7" t="inlineStr">
        <is>
          <t>INC</t>
        </is>
      </c>
      <c r="K38" s="5" t="n">
        <v>-43</v>
      </c>
      <c r="L38" s="8">
        <f>I38-F38</f>
        <v/>
      </c>
      <c r="M38" s="5" t="n">
        <v>16</v>
      </c>
      <c r="N38" s="5" t="n">
        <v>353</v>
      </c>
    </row>
    <row r="39" ht="20" customHeight="1">
      <c r="A39" s="9" t="n">
        <v>38</v>
      </c>
      <c r="B39" s="10" t="inlineStr">
        <is>
          <t>Galib</t>
        </is>
      </c>
      <c r="C39" s="10" t="inlineStr">
        <is>
          <t>ਗ਼ਾਲਿਬ</t>
        </is>
      </c>
      <c r="D39" s="16" t="inlineStr">
        <is>
          <t>Lost in 2024 (to INC)</t>
        </is>
      </c>
      <c r="E39" s="12" t="n">
        <v>253</v>
      </c>
      <c r="F39" s="13">
        <f>253/675</f>
        <v/>
      </c>
      <c r="G39" s="14" t="inlineStr">
        <is>
          <t>AAP</t>
        </is>
      </c>
      <c r="H39" s="12" t="n">
        <v>121</v>
      </c>
      <c r="I39" s="13">
        <f>121/556</f>
        <v/>
      </c>
      <c r="J39" s="14" t="inlineStr">
        <is>
          <t>INC</t>
        </is>
      </c>
      <c r="K39" s="12" t="n">
        <v>-132</v>
      </c>
      <c r="L39" s="15">
        <f>I39-F39</f>
        <v/>
      </c>
      <c r="M39" s="12" t="n">
        <v>95</v>
      </c>
      <c r="N39" s="12" t="n">
        <v>556</v>
      </c>
    </row>
    <row r="40" ht="20" customHeight="1">
      <c r="A40" s="2" t="n">
        <v>39</v>
      </c>
      <c r="B40" s="3" t="inlineStr">
        <is>
          <t>Bal Labbe Dariya</t>
        </is>
      </c>
      <c r="C40" s="3" t="inlineStr">
        <is>
          <t>ਬੱਲ ਲੱਭੇ ਦਰਿਆ</t>
        </is>
      </c>
      <c r="D40" s="11" t="inlineStr">
        <is>
          <t>Won Both Times (Stronghold)</t>
        </is>
      </c>
      <c r="E40" s="5" t="n">
        <v>192</v>
      </c>
      <c r="F40" s="6">
        <f>192/506</f>
        <v/>
      </c>
      <c r="G40" s="7" t="inlineStr">
        <is>
          <t>AAP</t>
        </is>
      </c>
      <c r="H40" s="5" t="n">
        <v>182</v>
      </c>
      <c r="I40" s="6">
        <f>182/484</f>
        <v/>
      </c>
      <c r="J40" s="7" t="inlineStr">
        <is>
          <t>AAP</t>
        </is>
      </c>
      <c r="K40" s="5" t="n">
        <v>-10</v>
      </c>
      <c r="L40" s="8">
        <f>I40-F40</f>
        <v/>
      </c>
      <c r="M40" s="5" t="n">
        <v>11</v>
      </c>
      <c r="N40" s="5" t="n">
        <v>484</v>
      </c>
    </row>
    <row r="41" ht="20" customHeight="1">
      <c r="A41" s="9" t="n">
        <v>40</v>
      </c>
      <c r="B41" s="10" t="inlineStr">
        <is>
          <t>Chakk Bala</t>
        </is>
      </c>
      <c r="C41" s="10" t="inlineStr">
        <is>
          <t>ਚੱਕ ਬਾਲਾ</t>
        </is>
      </c>
      <c r="D41" s="17" t="inlineStr">
        <is>
          <t>Lost Both Times (Deficit)</t>
        </is>
      </c>
      <c r="E41" s="12" t="n">
        <v>161</v>
      </c>
      <c r="F41" s="13">
        <f>161/724</f>
        <v/>
      </c>
      <c r="G41" s="14" t="inlineStr">
        <is>
          <t>INC</t>
        </is>
      </c>
      <c r="H41" s="12" t="n">
        <v>217</v>
      </c>
      <c r="I41" s="13">
        <f>217/693</f>
        <v/>
      </c>
      <c r="J41" s="14" t="inlineStr">
        <is>
          <t>INC</t>
        </is>
      </c>
      <c r="K41" s="12" t="n">
        <v>56</v>
      </c>
      <c r="L41" s="15">
        <f>I41-F41</f>
        <v/>
      </c>
      <c r="M41" s="12" t="n">
        <v>5</v>
      </c>
      <c r="N41" s="12" t="n">
        <v>693</v>
      </c>
    </row>
    <row r="42" ht="20" customHeight="1">
      <c r="A42" s="2" t="n">
        <v>41</v>
      </c>
      <c r="B42" s="3" t="inlineStr">
        <is>
          <t>Jagdev Khurd</t>
        </is>
      </c>
      <c r="C42" s="3" t="inlineStr">
        <is>
          <t>ਜਗਦੇਵ ਖੁਰਦ</t>
        </is>
      </c>
      <c r="D42" s="16" t="inlineStr">
        <is>
          <t>Lost in 2024 (to INC)</t>
        </is>
      </c>
      <c r="E42" s="5" t="n">
        <v>225</v>
      </c>
      <c r="F42" s="6">
        <f>225/549</f>
        <v/>
      </c>
      <c r="G42" s="7" t="inlineStr">
        <is>
          <t>AAP</t>
        </is>
      </c>
      <c r="H42" s="5" t="n">
        <v>119</v>
      </c>
      <c r="I42" s="6">
        <f>119/480</f>
        <v/>
      </c>
      <c r="J42" s="7" t="inlineStr">
        <is>
          <t>INC</t>
        </is>
      </c>
      <c r="K42" s="5" t="n">
        <v>-106</v>
      </c>
      <c r="L42" s="8">
        <f>I42-F42</f>
        <v/>
      </c>
      <c r="M42" s="5" t="n">
        <v>68</v>
      </c>
      <c r="N42" s="5" t="n">
        <v>480</v>
      </c>
    </row>
    <row r="43" ht="20" customHeight="1">
      <c r="A43" s="9" t="n">
        <v>42</v>
      </c>
      <c r="B43" s="10" t="inlineStr">
        <is>
          <t>Jagdev Khurd</t>
        </is>
      </c>
      <c r="C43" s="10" t="inlineStr">
        <is>
          <t>ਜਗਦੇਵ ਖੁਰਦ</t>
        </is>
      </c>
      <c r="D43" s="16" t="inlineStr">
        <is>
          <t>Lost in 2024 (to INC)</t>
        </is>
      </c>
      <c r="E43" s="12" t="n">
        <v>182</v>
      </c>
      <c r="F43" s="13">
        <f>182/493</f>
        <v/>
      </c>
      <c r="G43" s="14" t="inlineStr">
        <is>
          <t>AAP</t>
        </is>
      </c>
      <c r="H43" s="12" t="n">
        <v>118</v>
      </c>
      <c r="I43" s="13">
        <f>118/456</f>
        <v/>
      </c>
      <c r="J43" s="14" t="inlineStr">
        <is>
          <t>INC</t>
        </is>
      </c>
      <c r="K43" s="12" t="n">
        <v>-64</v>
      </c>
      <c r="L43" s="15">
        <f>I43-F43</f>
        <v/>
      </c>
      <c r="M43" s="12" t="n">
        <v>62</v>
      </c>
      <c r="N43" s="12" t="n">
        <v>456</v>
      </c>
    </row>
    <row r="44" ht="20" customHeight="1">
      <c r="A44" s="2" t="n">
        <v>43</v>
      </c>
      <c r="B44" s="3" t="inlineStr">
        <is>
          <t>Aliwal Kotli</t>
        </is>
      </c>
      <c r="C44" s="3" t="inlineStr">
        <is>
          <t>ਅਲੀਵਾਲ ਕੋਟਲੀ</t>
        </is>
      </c>
      <c r="D44" s="16" t="inlineStr">
        <is>
          <t>Lost in 2024 (to INC)</t>
        </is>
      </c>
      <c r="E44" s="5" t="n">
        <v>197</v>
      </c>
      <c r="F44" s="6">
        <f>197/480</f>
        <v/>
      </c>
      <c r="G44" s="7" t="inlineStr">
        <is>
          <t>AAP</t>
        </is>
      </c>
      <c r="H44" s="5" t="n">
        <v>193</v>
      </c>
      <c r="I44" s="6">
        <f>193/464</f>
        <v/>
      </c>
      <c r="J44" s="7" t="inlineStr">
        <is>
          <t>INC</t>
        </is>
      </c>
      <c r="K44" s="5" t="n">
        <v>-4</v>
      </c>
      <c r="L44" s="8">
        <f>I44-F44</f>
        <v/>
      </c>
      <c r="M44" s="5" t="n">
        <v>7</v>
      </c>
      <c r="N44" s="5" t="n">
        <v>464</v>
      </c>
    </row>
    <row r="45" ht="20" customHeight="1">
      <c r="A45" s="9" t="n">
        <v>44</v>
      </c>
      <c r="B45" s="10" t="inlineStr">
        <is>
          <t>Gurala</t>
        </is>
      </c>
      <c r="C45" s="10" t="inlineStr">
        <is>
          <t>ਗੁਰਾਲਾ</t>
        </is>
      </c>
      <c r="D45" s="17" t="inlineStr">
        <is>
          <t>Lost Both Times (Deficit)</t>
        </is>
      </c>
      <c r="E45" s="12" t="n">
        <v>258</v>
      </c>
      <c r="F45" s="13">
        <f>258/858</f>
        <v/>
      </c>
      <c r="G45" s="14" t="inlineStr">
        <is>
          <t>SAD</t>
        </is>
      </c>
      <c r="H45" s="12" t="n">
        <v>189</v>
      </c>
      <c r="I45" s="13">
        <f>189/681</f>
        <v/>
      </c>
      <c r="J45" s="14" t="inlineStr">
        <is>
          <t>INC</t>
        </is>
      </c>
      <c r="K45" s="12" t="n">
        <v>-69</v>
      </c>
      <c r="L45" s="15">
        <f>I45-F45</f>
        <v/>
      </c>
      <c r="M45" s="12" t="n">
        <v>20</v>
      </c>
      <c r="N45" s="12" t="n">
        <v>681</v>
      </c>
    </row>
    <row r="46" ht="20" customHeight="1">
      <c r="A46" s="2" t="n">
        <v>45</v>
      </c>
      <c r="B46" s="3" t="inlineStr">
        <is>
          <t>Terha Rajputa</t>
        </is>
      </c>
      <c r="C46" s="3" t="inlineStr">
        <is>
          <t>ਤੇੜ੍ਹਾ ਰਾਜਪੂਤਾਂ</t>
        </is>
      </c>
      <c r="D46" s="11" t="inlineStr">
        <is>
          <t>Won Both Times (Stronghold)</t>
        </is>
      </c>
      <c r="E46" s="5" t="n">
        <v>371</v>
      </c>
      <c r="F46" s="6">
        <f>371/822</f>
        <v/>
      </c>
      <c r="G46" s="7" t="inlineStr">
        <is>
          <t>AAP</t>
        </is>
      </c>
      <c r="H46" s="5" t="n">
        <v>305</v>
      </c>
      <c r="I46" s="6">
        <f>305/816</f>
        <v/>
      </c>
      <c r="J46" s="7" t="inlineStr">
        <is>
          <t>AAP</t>
        </is>
      </c>
      <c r="K46" s="5" t="n">
        <v>-66</v>
      </c>
      <c r="L46" s="8">
        <f>I46-F46</f>
        <v/>
      </c>
      <c r="M46" s="5" t="n">
        <v>77</v>
      </c>
      <c r="N46" s="5" t="n">
        <v>816</v>
      </c>
    </row>
    <row r="47" ht="20" customHeight="1">
      <c r="A47" s="9" t="n">
        <v>46</v>
      </c>
      <c r="B47" s="10" t="inlineStr">
        <is>
          <t>Abadi Dinewali</t>
        </is>
      </c>
      <c r="C47" s="10" t="inlineStr">
        <is>
          <t>ਆਬਾਦੀ ਦੀਨੇਵਾਲੀ</t>
        </is>
      </c>
      <c r="D47" s="16" t="inlineStr">
        <is>
          <t>Lost in 2024 (to BJP)</t>
        </is>
      </c>
      <c r="E47" s="12" t="n">
        <v>255</v>
      </c>
      <c r="F47" s="13">
        <f>255/574</f>
        <v/>
      </c>
      <c r="G47" s="14" t="inlineStr">
        <is>
          <t>AAP</t>
        </is>
      </c>
      <c r="H47" s="12" t="n">
        <v>62</v>
      </c>
      <c r="I47" s="13">
        <f>62/595</f>
        <v/>
      </c>
      <c r="J47" s="14" t="inlineStr">
        <is>
          <t>BJP</t>
        </is>
      </c>
      <c r="K47" s="12" t="n">
        <v>-193</v>
      </c>
      <c r="L47" s="15">
        <f>I47-F47</f>
        <v/>
      </c>
      <c r="M47" s="12" t="n">
        <v>59</v>
      </c>
      <c r="N47" s="12" t="n">
        <v>595</v>
      </c>
    </row>
    <row r="48" ht="20" customHeight="1">
      <c r="A48" s="2" t="n">
        <v>47</v>
      </c>
      <c r="B48" s="3" t="inlineStr">
        <is>
          <t>Dalla Rajputa</t>
        </is>
      </c>
      <c r="C48" s="3" t="inlineStr">
        <is>
          <t>ਡੱਲਾ ਰਾਜਪੂਤਾਂ</t>
        </is>
      </c>
      <c r="D48" s="16" t="inlineStr">
        <is>
          <t>Lost in 2024 (to INC)</t>
        </is>
      </c>
      <c r="E48" s="5" t="n">
        <v>319</v>
      </c>
      <c r="F48" s="6">
        <f>319/750</f>
        <v/>
      </c>
      <c r="G48" s="7" t="inlineStr">
        <is>
          <t>AAP</t>
        </is>
      </c>
      <c r="H48" s="5" t="n">
        <v>135</v>
      </c>
      <c r="I48" s="6">
        <f>135/659</f>
        <v/>
      </c>
      <c r="J48" s="7" t="inlineStr">
        <is>
          <t>INC</t>
        </is>
      </c>
      <c r="K48" s="5" t="n">
        <v>-184</v>
      </c>
      <c r="L48" s="8">
        <f>I48-F48</f>
        <v/>
      </c>
      <c r="M48" s="5" t="n">
        <v>102</v>
      </c>
      <c r="N48" s="5" t="n">
        <v>659</v>
      </c>
    </row>
    <row r="49" ht="20" customHeight="1">
      <c r="A49" s="9" t="n">
        <v>48</v>
      </c>
      <c r="B49" s="10" t="inlineStr">
        <is>
          <t>Dalla Rajputa</t>
        </is>
      </c>
      <c r="C49" s="10" t="inlineStr">
        <is>
          <t>ਡੱਲਾ ਰਾਜਪੂਤਾਂ</t>
        </is>
      </c>
      <c r="D49" s="16" t="inlineStr">
        <is>
          <t>Lost in 2024 (to BJP)</t>
        </is>
      </c>
      <c r="E49" s="12" t="n">
        <v>287</v>
      </c>
      <c r="F49" s="13">
        <f>287/625</f>
        <v/>
      </c>
      <c r="G49" s="14" t="inlineStr">
        <is>
          <t>AAP</t>
        </is>
      </c>
      <c r="H49" s="12" t="n">
        <v>105</v>
      </c>
      <c r="I49" s="13">
        <f>105/542</f>
        <v/>
      </c>
      <c r="J49" s="14" t="inlineStr">
        <is>
          <t>BJP</t>
        </is>
      </c>
      <c r="K49" s="12" t="n">
        <v>-182</v>
      </c>
      <c r="L49" s="15">
        <f>I49-F49</f>
        <v/>
      </c>
      <c r="M49" s="12" t="n">
        <v>21</v>
      </c>
      <c r="N49" s="12" t="n">
        <v>542</v>
      </c>
    </row>
    <row r="50" ht="20" customHeight="1">
      <c r="A50" s="2" t="n">
        <v>49</v>
      </c>
      <c r="B50" s="3" t="inlineStr">
        <is>
          <t>Dalla Rajputa</t>
        </is>
      </c>
      <c r="C50" s="3" t="inlineStr">
        <is>
          <t>ਡੱਲਾ ਰਾਜਪੂਤਾਂ</t>
        </is>
      </c>
      <c r="D50" s="16" t="inlineStr">
        <is>
          <t>Lost in 2024 (to BJP)</t>
        </is>
      </c>
      <c r="E50" s="5" t="n">
        <v>254</v>
      </c>
      <c r="F50" s="6">
        <f>254/606</f>
        <v/>
      </c>
      <c r="G50" s="7" t="inlineStr">
        <is>
          <t>AAP</t>
        </is>
      </c>
      <c r="H50" s="5" t="n">
        <v>69</v>
      </c>
      <c r="I50" s="6">
        <f>69/569</f>
        <v/>
      </c>
      <c r="J50" s="7" t="inlineStr">
        <is>
          <t>BJP</t>
        </is>
      </c>
      <c r="K50" s="5" t="n">
        <v>-185</v>
      </c>
      <c r="L50" s="8">
        <f>I50-F50</f>
        <v/>
      </c>
      <c r="M50" s="5" t="n">
        <v>63</v>
      </c>
      <c r="N50" s="5" t="n">
        <v>569</v>
      </c>
    </row>
    <row r="51" ht="20" customHeight="1">
      <c r="A51" s="9" t="n">
        <v>50</v>
      </c>
      <c r="B51" s="10" t="inlineStr">
        <is>
          <t>Balarhwal</t>
        </is>
      </c>
      <c r="C51" s="10" t="inlineStr">
        <is>
          <t>ਬਲੜ੍ਹਵਾਲ</t>
        </is>
      </c>
      <c r="D51" s="17" t="inlineStr">
        <is>
          <t>Lost Both Times (Deficit)</t>
        </is>
      </c>
      <c r="E51" s="12" t="n">
        <v>279</v>
      </c>
      <c r="F51" s="13">
        <f>279/821</f>
        <v/>
      </c>
      <c r="G51" s="14" t="inlineStr">
        <is>
          <t>SAD</t>
        </is>
      </c>
      <c r="H51" s="12" t="n">
        <v>208</v>
      </c>
      <c r="I51" s="13">
        <f>208/739</f>
        <v/>
      </c>
      <c r="J51" s="14" t="inlineStr">
        <is>
          <t>BJP</t>
        </is>
      </c>
      <c r="K51" s="12" t="n">
        <v>-71</v>
      </c>
      <c r="L51" s="15">
        <f>I51-F51</f>
        <v/>
      </c>
      <c r="M51" s="12" t="n">
        <v>64</v>
      </c>
      <c r="N51" s="12" t="n">
        <v>739</v>
      </c>
    </row>
    <row r="52" ht="20" customHeight="1">
      <c r="A52" s="2" t="n">
        <v>51</v>
      </c>
      <c r="B52" s="3" t="inlineStr">
        <is>
          <t>Balarhwal</t>
        </is>
      </c>
      <c r="C52" s="3" t="inlineStr">
        <is>
          <t>ਬਲੜ੍ਹਵਾਲ</t>
        </is>
      </c>
      <c r="D52" s="11" t="inlineStr">
        <is>
          <t>Won Both Times (Stronghold)</t>
        </is>
      </c>
      <c r="E52" s="5" t="n">
        <v>327</v>
      </c>
      <c r="F52" s="6">
        <f>327/875</f>
        <v/>
      </c>
      <c r="G52" s="7" t="inlineStr">
        <is>
          <t>AAP</t>
        </is>
      </c>
      <c r="H52" s="5" t="n">
        <v>313</v>
      </c>
      <c r="I52" s="6">
        <f>313/905</f>
        <v/>
      </c>
      <c r="J52" s="7" t="inlineStr">
        <is>
          <t>AAP</t>
        </is>
      </c>
      <c r="K52" s="5" t="n">
        <v>-14</v>
      </c>
      <c r="L52" s="8">
        <f>I52-F52</f>
        <v/>
      </c>
      <c r="M52" s="5" t="n">
        <v>119</v>
      </c>
      <c r="N52" s="5" t="n">
        <v>905</v>
      </c>
    </row>
    <row r="53" ht="20" customHeight="1">
      <c r="A53" s="9" t="n">
        <v>52</v>
      </c>
      <c r="B53" s="10" t="inlineStr">
        <is>
          <t>Balarhwal</t>
        </is>
      </c>
      <c r="C53" s="10" t="inlineStr">
        <is>
          <t>ਬਲੜ੍ਹਵਾਲ</t>
        </is>
      </c>
      <c r="D53" s="16" t="inlineStr">
        <is>
          <t>Lost in 2024 (to BJP)</t>
        </is>
      </c>
      <c r="E53" s="12" t="n">
        <v>306</v>
      </c>
      <c r="F53" s="13">
        <f>306/877</f>
        <v/>
      </c>
      <c r="G53" s="14" t="inlineStr">
        <is>
          <t>AAP</t>
        </is>
      </c>
      <c r="H53" s="12" t="n">
        <v>135</v>
      </c>
      <c r="I53" s="13">
        <f>135/842</f>
        <v/>
      </c>
      <c r="J53" s="14" t="inlineStr">
        <is>
          <t>BJP</t>
        </is>
      </c>
      <c r="K53" s="12" t="n">
        <v>-171</v>
      </c>
      <c r="L53" s="15">
        <f>I53-F53</f>
        <v/>
      </c>
      <c r="M53" s="12" t="n">
        <v>156</v>
      </c>
      <c r="N53" s="12" t="n">
        <v>842</v>
      </c>
    </row>
    <row r="54" ht="20" customHeight="1">
      <c r="A54" s="2" t="n">
        <v>53</v>
      </c>
      <c r="B54" s="3" t="inlineStr">
        <is>
          <t>Khanwal</t>
        </is>
      </c>
      <c r="C54" s="3" t="inlineStr">
        <is>
          <t>ਖਾਨਵਾਲ</t>
        </is>
      </c>
      <c r="D54" s="18" t="inlineStr">
        <is>
          <t>Weak Booth (&lt; 20% Share)</t>
        </is>
      </c>
      <c r="E54" s="5" t="n">
        <v>213</v>
      </c>
      <c r="F54" s="6">
        <f>213/889</f>
        <v/>
      </c>
      <c r="G54" s="7" t="inlineStr">
        <is>
          <t>SAD</t>
        </is>
      </c>
      <c r="H54" s="5" t="n">
        <v>103</v>
      </c>
      <c r="I54" s="6">
        <f>103/873</f>
        <v/>
      </c>
      <c r="J54" s="7" t="inlineStr">
        <is>
          <t>BJP</t>
        </is>
      </c>
      <c r="K54" s="5" t="n">
        <v>-110</v>
      </c>
      <c r="L54" s="8">
        <f>I54-F54</f>
        <v/>
      </c>
      <c r="M54" s="5" t="n">
        <v>51</v>
      </c>
      <c r="N54" s="5" t="n">
        <v>873</v>
      </c>
    </row>
    <row r="55" ht="20" customHeight="1">
      <c r="A55" s="9" t="n">
        <v>54</v>
      </c>
      <c r="B55" s="10" t="inlineStr">
        <is>
          <t>Raipur Kalan</t>
        </is>
      </c>
      <c r="C55" s="10" t="inlineStr">
        <is>
          <t>ਰਾਏਪੁਰ ਕਲਾਂ</t>
        </is>
      </c>
      <c r="D55" s="17" t="inlineStr">
        <is>
          <t>Lost Both Times (Deficit)</t>
        </is>
      </c>
      <c r="E55" s="12" t="n">
        <v>270</v>
      </c>
      <c r="F55" s="13">
        <f>270/910</f>
        <v/>
      </c>
      <c r="G55" s="14" t="inlineStr">
        <is>
          <t>INC</t>
        </is>
      </c>
      <c r="H55" s="12" t="n">
        <v>242</v>
      </c>
      <c r="I55" s="13">
        <f>242/834</f>
        <v/>
      </c>
      <c r="J55" s="14" t="inlineStr">
        <is>
          <t>INC</t>
        </is>
      </c>
      <c r="K55" s="12" t="n">
        <v>-28</v>
      </c>
      <c r="L55" s="15">
        <f>I55-F55</f>
        <v/>
      </c>
      <c r="M55" s="12" t="n">
        <v>117</v>
      </c>
      <c r="N55" s="12" t="n">
        <v>834</v>
      </c>
    </row>
    <row r="56" ht="20" customHeight="1">
      <c r="A56" s="2" t="n">
        <v>55</v>
      </c>
      <c r="B56" s="3" t="inlineStr">
        <is>
          <t>Sheikh Bhati</t>
        </is>
      </c>
      <c r="C56" s="3" t="inlineStr">
        <is>
          <t>ਸ਼ੇਖ਼ ਭੱਟੀ</t>
        </is>
      </c>
      <c r="D56" s="4" t="inlineStr">
        <is>
          <t>Gained in 2024 (New Win)</t>
        </is>
      </c>
      <c r="E56" s="5" t="n">
        <v>220</v>
      </c>
      <c r="F56" s="6">
        <f>220/667</f>
        <v/>
      </c>
      <c r="G56" s="7" t="inlineStr">
        <is>
          <t>INC</t>
        </is>
      </c>
      <c r="H56" s="5" t="n">
        <v>262</v>
      </c>
      <c r="I56" s="6">
        <f>262/616</f>
        <v/>
      </c>
      <c r="J56" s="7" t="inlineStr">
        <is>
          <t>AAP</t>
        </is>
      </c>
      <c r="K56" s="5" t="n">
        <v>42</v>
      </c>
      <c r="L56" s="8">
        <f>I56-F56</f>
        <v/>
      </c>
      <c r="M56" s="5" t="n">
        <v>80</v>
      </c>
      <c r="N56" s="5" t="n">
        <v>616</v>
      </c>
    </row>
    <row r="57" ht="20" customHeight="1">
      <c r="A57" s="9" t="n">
        <v>56</v>
      </c>
      <c r="B57" s="10" t="inlineStr">
        <is>
          <t>Majhi Meeu</t>
        </is>
      </c>
      <c r="C57" s="10" t="inlineStr">
        <is>
          <t>ਮਾਝੀ ਮੀਊ</t>
        </is>
      </c>
      <c r="D57" s="4" t="inlineStr">
        <is>
          <t>Gained in 2024 (New Win)</t>
        </is>
      </c>
      <c r="E57" s="12" t="n">
        <v>119</v>
      </c>
      <c r="F57" s="13">
        <f>119/350</f>
        <v/>
      </c>
      <c r="G57" s="14" t="inlineStr">
        <is>
          <t>SAD</t>
        </is>
      </c>
      <c r="H57" s="12" t="n">
        <v>201</v>
      </c>
      <c r="I57" s="13">
        <f>201/367</f>
        <v/>
      </c>
      <c r="J57" s="14" t="inlineStr">
        <is>
          <t>AAP</t>
        </is>
      </c>
      <c r="K57" s="12" t="n">
        <v>82</v>
      </c>
      <c r="L57" s="15">
        <f>I57-F57</f>
        <v/>
      </c>
      <c r="M57" s="12" t="n">
        <v>137</v>
      </c>
      <c r="N57" s="12" t="n">
        <v>367</v>
      </c>
    </row>
    <row r="58" ht="20" customHeight="1">
      <c r="A58" s="2" t="n">
        <v>57</v>
      </c>
      <c r="B58" s="3" t="inlineStr">
        <is>
          <t>Saidpur Khurd</t>
        </is>
      </c>
      <c r="C58" s="3" t="inlineStr">
        <is>
          <t>ਸਈਦਪੁਰ ਖੁਰਦ</t>
        </is>
      </c>
      <c r="D58" s="4" t="inlineStr">
        <is>
          <t>Gained in 2024 (New Win)</t>
        </is>
      </c>
      <c r="E58" s="5" t="n">
        <v>142</v>
      </c>
      <c r="F58" s="6">
        <f>142/522</f>
        <v/>
      </c>
      <c r="G58" s="7" t="inlineStr">
        <is>
          <t>SAD</t>
        </is>
      </c>
      <c r="H58" s="5" t="n">
        <v>168</v>
      </c>
      <c r="I58" s="6">
        <f>168/517</f>
        <v/>
      </c>
      <c r="J58" s="7" t="inlineStr">
        <is>
          <t>AAP</t>
        </is>
      </c>
      <c r="K58" s="5" t="n">
        <v>26</v>
      </c>
      <c r="L58" s="8">
        <f>I58-F58</f>
        <v/>
      </c>
      <c r="M58" s="5" t="n">
        <v>32</v>
      </c>
      <c r="N58" s="5" t="n">
        <v>517</v>
      </c>
    </row>
    <row r="59" ht="20" customHeight="1">
      <c r="A59" s="9" t="n">
        <v>58</v>
      </c>
      <c r="B59" s="10" t="inlineStr">
        <is>
          <t>Hashampura</t>
        </is>
      </c>
      <c r="C59" s="10" t="inlineStr">
        <is>
          <t>ਹਾਸ਼ਮਪੁਰਾ</t>
        </is>
      </c>
      <c r="D59" s="17" t="inlineStr">
        <is>
          <t>Lost Both Times (Deficit)</t>
        </is>
      </c>
      <c r="E59" s="12" t="n">
        <v>284</v>
      </c>
      <c r="F59" s="13">
        <f>284/919</f>
        <v/>
      </c>
      <c r="G59" s="14" t="inlineStr">
        <is>
          <t>SAD</t>
        </is>
      </c>
      <c r="H59" s="12" t="n">
        <v>209</v>
      </c>
      <c r="I59" s="13">
        <f>209/775</f>
        <v/>
      </c>
      <c r="J59" s="14" t="inlineStr">
        <is>
          <t>INC</t>
        </is>
      </c>
      <c r="K59" s="12" t="n">
        <v>-75</v>
      </c>
      <c r="L59" s="15">
        <f>I59-F59</f>
        <v/>
      </c>
      <c r="M59" s="12" t="n">
        <v>81</v>
      </c>
      <c r="N59" s="12" t="n">
        <v>775</v>
      </c>
    </row>
    <row r="60" ht="20" customHeight="1">
      <c r="A60" s="2" t="n">
        <v>59</v>
      </c>
      <c r="B60" s="3" t="inlineStr">
        <is>
          <t>Jafarkot</t>
        </is>
      </c>
      <c r="C60" s="3" t="inlineStr">
        <is>
          <t>ਜਾਫ਼ਰਕੋਟ</t>
        </is>
      </c>
      <c r="D60" s="17" t="inlineStr">
        <is>
          <t>Lost Both Times (Deficit)</t>
        </is>
      </c>
      <c r="E60" s="5" t="n">
        <v>151</v>
      </c>
      <c r="F60" s="6">
        <f>151/638</f>
        <v/>
      </c>
      <c r="G60" s="7" t="inlineStr">
        <is>
          <t>SAD</t>
        </is>
      </c>
      <c r="H60" s="5" t="n">
        <v>174</v>
      </c>
      <c r="I60" s="6">
        <f>174/551</f>
        <v/>
      </c>
      <c r="J60" s="7" t="inlineStr">
        <is>
          <t>INC</t>
        </is>
      </c>
      <c r="K60" s="5" t="n">
        <v>23</v>
      </c>
      <c r="L60" s="8">
        <f>I60-F60</f>
        <v/>
      </c>
      <c r="M60" s="5" t="n">
        <v>1</v>
      </c>
      <c r="N60" s="5" t="n">
        <v>551</v>
      </c>
    </row>
    <row r="61" ht="20" customHeight="1">
      <c r="A61" s="9" t="n">
        <v>60</v>
      </c>
      <c r="B61" s="10" t="inlineStr">
        <is>
          <t>Poonga</t>
        </is>
      </c>
      <c r="C61" s="10" t="inlineStr">
        <is>
          <t>ਪੂੰਗਾ</t>
        </is>
      </c>
      <c r="D61" s="18" t="inlineStr">
        <is>
          <t>Weak Booth (&lt; 20% Share)</t>
        </is>
      </c>
      <c r="E61" s="12" t="n">
        <v>147</v>
      </c>
      <c r="F61" s="13">
        <f>147/514</f>
        <v/>
      </c>
      <c r="G61" s="14" t="inlineStr">
        <is>
          <t>INC</t>
        </is>
      </c>
      <c r="H61" s="12" t="n">
        <v>87</v>
      </c>
      <c r="I61" s="13">
        <f>87/490</f>
        <v/>
      </c>
      <c r="J61" s="14" t="inlineStr">
        <is>
          <t>INC</t>
        </is>
      </c>
      <c r="K61" s="12" t="n">
        <v>-60</v>
      </c>
      <c r="L61" s="15">
        <f>I61-F61</f>
        <v/>
      </c>
      <c r="M61" s="12" t="n">
        <v>30</v>
      </c>
      <c r="N61" s="12" t="n">
        <v>490</v>
      </c>
    </row>
    <row r="62" ht="20" customHeight="1">
      <c r="A62" s="2" t="n">
        <v>61</v>
      </c>
      <c r="B62" s="3" t="inlineStr">
        <is>
          <t>Chakk Aoul</t>
        </is>
      </c>
      <c r="C62" s="3" t="inlineStr">
        <is>
          <t>ਚੱਕ ਔਲ</t>
        </is>
      </c>
      <c r="D62" s="16" t="inlineStr">
        <is>
          <t>Lost in 2024 (to INC)</t>
        </is>
      </c>
      <c r="E62" s="5" t="n">
        <v>348</v>
      </c>
      <c r="F62" s="6">
        <f>348/754</f>
        <v/>
      </c>
      <c r="G62" s="7" t="inlineStr">
        <is>
          <t>AAP</t>
        </is>
      </c>
      <c r="H62" s="5" t="n">
        <v>208</v>
      </c>
      <c r="I62" s="6">
        <f>208/676</f>
        <v/>
      </c>
      <c r="J62" s="7" t="inlineStr">
        <is>
          <t>INC</t>
        </is>
      </c>
      <c r="K62" s="5" t="n">
        <v>-140</v>
      </c>
      <c r="L62" s="8">
        <f>I62-F62</f>
        <v/>
      </c>
      <c r="M62" s="5" t="n">
        <v>11</v>
      </c>
      <c r="N62" s="5" t="n">
        <v>676</v>
      </c>
    </row>
    <row r="63" ht="20" customHeight="1">
      <c r="A63" s="9" t="n">
        <v>62</v>
      </c>
      <c r="B63" s="10" t="inlineStr">
        <is>
          <t>Vanjhan Wala</t>
        </is>
      </c>
      <c r="C63" s="10" t="inlineStr">
        <is>
          <t>ਵੰਝਾਂ ਵਾਲਾ</t>
        </is>
      </c>
      <c r="D63" s="4" t="inlineStr">
        <is>
          <t>Gained in 2024 (New Win)</t>
        </is>
      </c>
      <c r="E63" s="12" t="n">
        <v>182</v>
      </c>
      <c r="F63" s="13">
        <f>182/608</f>
        <v/>
      </c>
      <c r="G63" s="14" t="inlineStr">
        <is>
          <t>SAD</t>
        </is>
      </c>
      <c r="H63" s="12" t="n">
        <v>303</v>
      </c>
      <c r="I63" s="13">
        <f>303/585</f>
        <v/>
      </c>
      <c r="J63" s="14" t="inlineStr">
        <is>
          <t>AAP</t>
        </is>
      </c>
      <c r="K63" s="12" t="n">
        <v>121</v>
      </c>
      <c r="L63" s="15">
        <f>I63-F63</f>
        <v/>
      </c>
      <c r="M63" s="12" t="n">
        <v>179</v>
      </c>
      <c r="N63" s="12" t="n">
        <v>585</v>
      </c>
    </row>
    <row r="64" ht="20" customHeight="1">
      <c r="A64" s="2" t="n">
        <v>63</v>
      </c>
      <c r="B64" s="3" t="inlineStr">
        <is>
          <t>Nangal Vanjhan Wala</t>
        </is>
      </c>
      <c r="C64" s="3" t="inlineStr">
        <is>
          <t>ਨੰਗਲ ਵੰਝਾਂ ਵਾਲਾ</t>
        </is>
      </c>
      <c r="D64" s="11" t="inlineStr">
        <is>
          <t>Won Both Times (Stronghold)</t>
        </is>
      </c>
      <c r="E64" s="5" t="n">
        <v>326</v>
      </c>
      <c r="F64" s="6">
        <f>326/834</f>
        <v/>
      </c>
      <c r="G64" s="7" t="inlineStr">
        <is>
          <t>AAP</t>
        </is>
      </c>
      <c r="H64" s="5" t="n">
        <v>258</v>
      </c>
      <c r="I64" s="6">
        <f>258/727</f>
        <v/>
      </c>
      <c r="J64" s="7" t="inlineStr">
        <is>
          <t>AAP</t>
        </is>
      </c>
      <c r="K64" s="5" t="n">
        <v>-68</v>
      </c>
      <c r="L64" s="8">
        <f>I64-F64</f>
        <v/>
      </c>
      <c r="M64" s="5" t="n">
        <v>91</v>
      </c>
      <c r="N64" s="5" t="n">
        <v>727</v>
      </c>
    </row>
    <row r="65" ht="20" customHeight="1">
      <c r="A65" s="9" t="n">
        <v>64</v>
      </c>
      <c r="B65" s="10" t="inlineStr">
        <is>
          <t>Talwandi Raidadu</t>
        </is>
      </c>
      <c r="C65" s="10" t="inlineStr">
        <is>
          <t>ਤਲਵੰਡੀ ਰਾਇਦਾਦੂ</t>
        </is>
      </c>
      <c r="D65" s="4" t="inlineStr">
        <is>
          <t>Gained in 2024 (New Win)</t>
        </is>
      </c>
      <c r="E65" s="12" t="n">
        <v>188</v>
      </c>
      <c r="F65" s="13">
        <f>188/810</f>
        <v/>
      </c>
      <c r="G65" s="14" t="inlineStr">
        <is>
          <t>SAD</t>
        </is>
      </c>
      <c r="H65" s="12" t="n">
        <v>291</v>
      </c>
      <c r="I65" s="13">
        <f>291/811</f>
        <v/>
      </c>
      <c r="J65" s="14" t="inlineStr">
        <is>
          <t>AAP</t>
        </is>
      </c>
      <c r="K65" s="12" t="n">
        <v>103</v>
      </c>
      <c r="L65" s="15">
        <f>I65-F65</f>
        <v/>
      </c>
      <c r="M65" s="12" t="n">
        <v>61</v>
      </c>
      <c r="N65" s="12" t="n">
        <v>811</v>
      </c>
    </row>
    <row r="66" ht="20" customHeight="1">
      <c r="A66" s="2" t="n">
        <v>65</v>
      </c>
      <c r="B66" s="3" t="inlineStr">
        <is>
          <t>Fatewal</t>
        </is>
      </c>
      <c r="C66" s="3" t="inlineStr">
        <is>
          <t>ਫਤੇਹਵਾਲ</t>
        </is>
      </c>
      <c r="D66" s="4" t="inlineStr">
        <is>
          <t>Gained in 2024 (New Win)</t>
        </is>
      </c>
      <c r="E66" s="5" t="n">
        <v>283</v>
      </c>
      <c r="F66" s="6">
        <f>283/782</f>
        <v/>
      </c>
      <c r="G66" s="7" t="inlineStr">
        <is>
          <t>SAD</t>
        </is>
      </c>
      <c r="H66" s="5" t="n">
        <v>288</v>
      </c>
      <c r="I66" s="6">
        <f>288/727</f>
        <v/>
      </c>
      <c r="J66" s="7" t="inlineStr">
        <is>
          <t>AAP</t>
        </is>
      </c>
      <c r="K66" s="5" t="n">
        <v>5</v>
      </c>
      <c r="L66" s="8">
        <f>I66-F66</f>
        <v/>
      </c>
      <c r="M66" s="5" t="n">
        <v>160</v>
      </c>
      <c r="N66" s="5" t="n">
        <v>727</v>
      </c>
    </row>
    <row r="67" ht="20" customHeight="1">
      <c r="A67" s="9" t="n">
        <v>66</v>
      </c>
      <c r="B67" s="10" t="inlineStr">
        <is>
          <t>Sarangdev</t>
        </is>
      </c>
      <c r="C67" s="10" t="inlineStr">
        <is>
          <t>ਸਾਰੰਗਦੇਵ</t>
        </is>
      </c>
      <c r="D67" s="16" t="inlineStr">
        <is>
          <t>Lost in 2024 (to INC)</t>
        </is>
      </c>
      <c r="E67" s="12" t="n">
        <v>340</v>
      </c>
      <c r="F67" s="13">
        <f>340/859</f>
        <v/>
      </c>
      <c r="G67" s="14" t="inlineStr">
        <is>
          <t>AAP</t>
        </is>
      </c>
      <c r="H67" s="12" t="n">
        <v>152</v>
      </c>
      <c r="I67" s="13">
        <f>152/770</f>
        <v/>
      </c>
      <c r="J67" s="14" t="inlineStr">
        <is>
          <t>INC</t>
        </is>
      </c>
      <c r="K67" s="12" t="n">
        <v>-188</v>
      </c>
      <c r="L67" s="15">
        <f>I67-F67</f>
        <v/>
      </c>
      <c r="M67" s="12" t="n">
        <v>62</v>
      </c>
      <c r="N67" s="12" t="n">
        <v>770</v>
      </c>
    </row>
    <row r="68" ht="20" customHeight="1">
      <c r="A68" s="2" t="n">
        <v>67</v>
      </c>
      <c r="B68" s="3" t="inlineStr">
        <is>
          <t>Sarangdev</t>
        </is>
      </c>
      <c r="C68" s="3" t="inlineStr">
        <is>
          <t>ਸਾਰੰਗਦੇਵ</t>
        </is>
      </c>
      <c r="D68" s="16" t="inlineStr">
        <is>
          <t>Lost in 2024 (to BJP)</t>
        </is>
      </c>
      <c r="E68" s="5" t="n">
        <v>242</v>
      </c>
      <c r="F68" s="6">
        <f>242/692</f>
        <v/>
      </c>
      <c r="G68" s="7" t="inlineStr">
        <is>
          <t>AAP</t>
        </is>
      </c>
      <c r="H68" s="5" t="n">
        <v>82</v>
      </c>
      <c r="I68" s="6">
        <f>82/634</f>
        <v/>
      </c>
      <c r="J68" s="7" t="inlineStr">
        <is>
          <t>BJP</t>
        </is>
      </c>
      <c r="K68" s="5" t="n">
        <v>-160</v>
      </c>
      <c r="L68" s="8">
        <f>I68-F68</f>
        <v/>
      </c>
      <c r="M68" s="5" t="n">
        <v>80</v>
      </c>
      <c r="N68" s="5" t="n">
        <v>634</v>
      </c>
    </row>
    <row r="69" ht="20" customHeight="1">
      <c r="A69" s="9" t="n">
        <v>68</v>
      </c>
      <c r="B69" s="10" t="inlineStr">
        <is>
          <t>Sarangdev</t>
        </is>
      </c>
      <c r="C69" s="10" t="inlineStr">
        <is>
          <t>ਸਾਰੰਗਦੇਵ</t>
        </is>
      </c>
      <c r="D69" s="11" t="inlineStr">
        <is>
          <t>Won Both Times (Stronghold)</t>
        </is>
      </c>
      <c r="E69" s="12" t="n">
        <v>160</v>
      </c>
      <c r="F69" s="13">
        <f>160/371</f>
        <v/>
      </c>
      <c r="G69" s="14" t="inlineStr">
        <is>
          <t>AAP</t>
        </is>
      </c>
      <c r="H69" s="12" t="n">
        <v>105</v>
      </c>
      <c r="I69" s="13">
        <f>105/329</f>
        <v/>
      </c>
      <c r="J69" s="14" t="inlineStr">
        <is>
          <t>AAP</t>
        </is>
      </c>
      <c r="K69" s="12" t="n">
        <v>-55</v>
      </c>
      <c r="L69" s="15">
        <f>I69-F69</f>
        <v/>
      </c>
      <c r="M69" s="12" t="n">
        <v>9</v>
      </c>
      <c r="N69" s="12" t="n">
        <v>329</v>
      </c>
    </row>
    <row r="70" ht="20" customHeight="1">
      <c r="A70" s="2" t="n">
        <v>69</v>
      </c>
      <c r="B70" s="3" t="inlineStr">
        <is>
          <t>Basti Dabar</t>
        </is>
      </c>
      <c r="C70" s="3" t="inlineStr">
        <is>
          <t>ਬਸਤੀ ਡਬਰ</t>
        </is>
      </c>
      <c r="D70" s="17" t="inlineStr">
        <is>
          <t>Lost Both Times (Deficit)</t>
        </is>
      </c>
      <c r="E70" s="5" t="n">
        <v>92</v>
      </c>
      <c r="F70" s="6">
        <f>92/407</f>
        <v/>
      </c>
      <c r="G70" s="7" t="inlineStr">
        <is>
          <t>SAD</t>
        </is>
      </c>
      <c r="H70" s="5" t="n">
        <v>107</v>
      </c>
      <c r="I70" s="6">
        <f>107/353</f>
        <v/>
      </c>
      <c r="J70" s="7" t="inlineStr">
        <is>
          <t>INC</t>
        </is>
      </c>
      <c r="K70" s="5" t="n">
        <v>15</v>
      </c>
      <c r="L70" s="8">
        <f>I70-F70</f>
        <v/>
      </c>
      <c r="M70" s="5" t="n">
        <v>22</v>
      </c>
      <c r="N70" s="5" t="n">
        <v>353</v>
      </c>
    </row>
    <row r="71" ht="20" customHeight="1">
      <c r="A71" s="9" t="n">
        <v>70</v>
      </c>
      <c r="B71" s="10" t="inlineStr">
        <is>
          <t>Granthgarh</t>
        </is>
      </c>
      <c r="C71" s="10" t="inlineStr">
        <is>
          <t>ਗ੍ਰੰਥਗੜ੍ਹ</t>
        </is>
      </c>
      <c r="D71" s="17" t="inlineStr">
        <is>
          <t>Lost Both Times (Deficit)</t>
        </is>
      </c>
      <c r="E71" s="12" t="n">
        <v>86</v>
      </c>
      <c r="F71" s="13">
        <f>86/344</f>
        <v/>
      </c>
      <c r="G71" s="14" t="inlineStr">
        <is>
          <t>SAD</t>
        </is>
      </c>
      <c r="H71" s="12" t="n">
        <v>103</v>
      </c>
      <c r="I71" s="13">
        <f>103/341</f>
        <v/>
      </c>
      <c r="J71" s="14" t="inlineStr">
        <is>
          <t>INC</t>
        </is>
      </c>
      <c r="K71" s="12" t="n">
        <v>17</v>
      </c>
      <c r="L71" s="15">
        <f>I71-F71</f>
        <v/>
      </c>
      <c r="M71" s="12" t="n">
        <v>6</v>
      </c>
      <c r="N71" s="12" t="n">
        <v>341</v>
      </c>
    </row>
    <row r="72" ht="20" customHeight="1">
      <c r="A72" s="2" t="n">
        <v>71</v>
      </c>
      <c r="B72" s="3" t="inlineStr">
        <is>
          <t>Chakk Dogra</t>
        </is>
      </c>
      <c r="C72" s="3" t="inlineStr">
        <is>
          <t>ਚੱਕ ਡੋਗਰਾ</t>
        </is>
      </c>
      <c r="D72" s="16" t="inlineStr">
        <is>
          <t>Lost in 2024 (to SAD)</t>
        </is>
      </c>
      <c r="E72" s="5" t="n">
        <v>390</v>
      </c>
      <c r="F72" s="6">
        <f>390/778</f>
        <v/>
      </c>
      <c r="G72" s="7" t="inlineStr">
        <is>
          <t>AAP</t>
        </is>
      </c>
      <c r="H72" s="5" t="n">
        <v>74</v>
      </c>
      <c r="I72" s="6">
        <f>74/785</f>
        <v/>
      </c>
      <c r="J72" s="7" t="inlineStr">
        <is>
          <t>SAD</t>
        </is>
      </c>
      <c r="K72" s="5" t="n">
        <v>-316</v>
      </c>
      <c r="L72" s="8">
        <f>I72-F72</f>
        <v/>
      </c>
      <c r="M72" s="5" t="n">
        <v>227</v>
      </c>
      <c r="N72" s="5" t="n">
        <v>785</v>
      </c>
    </row>
    <row r="73" ht="20" customHeight="1">
      <c r="A73" s="9" t="n">
        <v>72</v>
      </c>
      <c r="B73" s="10" t="inlineStr">
        <is>
          <t>Chakk Dogra</t>
        </is>
      </c>
      <c r="C73" s="10" t="inlineStr">
        <is>
          <t>ਚੱਕ ਡੋਗਰਾ</t>
        </is>
      </c>
      <c r="D73" s="16" t="inlineStr">
        <is>
          <t>Lost in 2024 (to BJP)</t>
        </is>
      </c>
      <c r="E73" s="12" t="n">
        <v>281</v>
      </c>
      <c r="F73" s="13">
        <f>281/663</f>
        <v/>
      </c>
      <c r="G73" s="14" t="inlineStr">
        <is>
          <t>AAP</t>
        </is>
      </c>
      <c r="H73" s="12" t="n">
        <v>52</v>
      </c>
      <c r="I73" s="13">
        <f>52/590</f>
        <v/>
      </c>
      <c r="J73" s="14" t="inlineStr">
        <is>
          <t>BJP</t>
        </is>
      </c>
      <c r="K73" s="12" t="n">
        <v>-229</v>
      </c>
      <c r="L73" s="15">
        <f>I73-F73</f>
        <v/>
      </c>
      <c r="M73" s="12" t="n">
        <v>70</v>
      </c>
      <c r="N73" s="12" t="n">
        <v>590</v>
      </c>
    </row>
    <row r="74" ht="20" customHeight="1">
      <c r="A74" s="2" t="n">
        <v>73</v>
      </c>
      <c r="B74" s="3" t="inlineStr">
        <is>
          <t>Lakhuwal</t>
        </is>
      </c>
      <c r="C74" s="3" t="inlineStr">
        <is>
          <t>ਲਖੂਵਾਲ</t>
        </is>
      </c>
      <c r="D74" s="4" t="inlineStr">
        <is>
          <t>Gained in 2024 (New Win)</t>
        </is>
      </c>
      <c r="E74" s="5" t="n">
        <v>49</v>
      </c>
      <c r="F74" s="6">
        <f>49/597</f>
        <v/>
      </c>
      <c r="G74" s="7" t="inlineStr">
        <is>
          <t>INC</t>
        </is>
      </c>
      <c r="H74" s="5" t="n">
        <v>1</v>
      </c>
      <c r="I74" s="6">
        <f>1/1</f>
        <v/>
      </c>
      <c r="J74" s="7" t="inlineStr">
        <is>
          <t>AAP</t>
        </is>
      </c>
      <c r="K74" s="5" t="n">
        <v>-48</v>
      </c>
      <c r="L74" s="8">
        <f>I74-F74</f>
        <v/>
      </c>
      <c r="M74" s="5" t="n">
        <v>1</v>
      </c>
      <c r="N74" s="5" t="n">
        <v>1</v>
      </c>
    </row>
    <row r="75" ht="20" customHeight="1">
      <c r="A75" s="9" t="n">
        <v>74</v>
      </c>
      <c r="B75" s="10" t="inlineStr">
        <is>
          <t>Lakhuwal</t>
        </is>
      </c>
      <c r="C75" s="10" t="inlineStr">
        <is>
          <t>ਲਖੂਵਾਲ</t>
        </is>
      </c>
      <c r="D75" s="4" t="inlineStr">
        <is>
          <t>Gained in 2024 (New Win)</t>
        </is>
      </c>
      <c r="E75" s="12" t="n">
        <v>133</v>
      </c>
      <c r="F75" s="13">
        <f>133/439</f>
        <v/>
      </c>
      <c r="G75" s="14" t="inlineStr">
        <is>
          <t>SAD</t>
        </is>
      </c>
      <c r="H75" s="12" t="n">
        <v>1</v>
      </c>
      <c r="I75" s="13">
        <f>1/2</f>
        <v/>
      </c>
      <c r="J75" s="14" t="inlineStr">
        <is>
          <t>AAP</t>
        </is>
      </c>
      <c r="K75" s="12" t="n">
        <v>-132</v>
      </c>
      <c r="L75" s="15">
        <f>I75-F75</f>
        <v/>
      </c>
      <c r="M75" s="12" t="n">
        <v>0</v>
      </c>
      <c r="N75" s="12" t="n">
        <v>2</v>
      </c>
    </row>
    <row r="76" ht="20" customHeight="1">
      <c r="A76" s="2" t="n">
        <v>75</v>
      </c>
      <c r="B76" s="3" t="inlineStr">
        <is>
          <t>Ajnala (Ward 1)</t>
        </is>
      </c>
      <c r="C76" s="3" t="inlineStr">
        <is>
          <t>ਅਜਨਾਲਾ (ਵਾਰਡ 1)</t>
        </is>
      </c>
      <c r="D76" s="17" t="inlineStr">
        <is>
          <t>Lost Both Times (Deficit)</t>
        </is>
      </c>
      <c r="E76" s="5" t="n">
        <v>129</v>
      </c>
      <c r="F76" s="6">
        <f>129/556</f>
        <v/>
      </c>
      <c r="G76" s="7" t="inlineStr">
        <is>
          <t>SAD</t>
        </is>
      </c>
      <c r="H76" s="5" t="n">
        <v>160</v>
      </c>
      <c r="I76" s="6">
        <f>160/545</f>
        <v/>
      </c>
      <c r="J76" s="7" t="inlineStr">
        <is>
          <t>INC</t>
        </is>
      </c>
      <c r="K76" s="5" t="n">
        <v>31</v>
      </c>
      <c r="L76" s="8">
        <f>I76-F76</f>
        <v/>
      </c>
      <c r="M76" s="5" t="n">
        <v>74</v>
      </c>
      <c r="N76" s="5" t="n">
        <v>545</v>
      </c>
    </row>
    <row r="77" ht="20" customHeight="1">
      <c r="A77" s="9" t="n">
        <v>76</v>
      </c>
      <c r="B77" s="10" t="inlineStr">
        <is>
          <t>Ajnala (Ward 2)</t>
        </is>
      </c>
      <c r="C77" s="10" t="inlineStr">
        <is>
          <t>ਅਜਨਾਲਾ (ਵਾਰਡ 2)</t>
        </is>
      </c>
      <c r="D77" s="4" t="inlineStr">
        <is>
          <t>Gained in 2024 (New Win)</t>
        </is>
      </c>
      <c r="E77" s="12" t="n">
        <v>142</v>
      </c>
      <c r="F77" s="13">
        <f>142/490</f>
        <v/>
      </c>
      <c r="G77" s="14" t="inlineStr">
        <is>
          <t>SAD</t>
        </is>
      </c>
      <c r="H77" s="12" t="n">
        <v>206</v>
      </c>
      <c r="I77" s="13">
        <f>206/429</f>
        <v/>
      </c>
      <c r="J77" s="14" t="inlineStr">
        <is>
          <t>AAP</t>
        </is>
      </c>
      <c r="K77" s="12" t="n">
        <v>64</v>
      </c>
      <c r="L77" s="15">
        <f>I77-F77</f>
        <v/>
      </c>
      <c r="M77" s="12" t="n">
        <v>73</v>
      </c>
      <c r="N77" s="12" t="n">
        <v>429</v>
      </c>
    </row>
    <row r="78" ht="20" customHeight="1">
      <c r="A78" s="2" t="n">
        <v>77</v>
      </c>
      <c r="B78" s="3" t="inlineStr">
        <is>
          <t>Ajnala (Ward 3)</t>
        </is>
      </c>
      <c r="C78" s="3" t="inlineStr">
        <is>
          <t>ਅਜਨਾਲਾ (ਵਾਰਡ 3)</t>
        </is>
      </c>
      <c r="D78" s="18" t="inlineStr">
        <is>
          <t>Weak Booth (&lt; 20% Share)</t>
        </is>
      </c>
      <c r="E78" s="5" t="n">
        <v>205</v>
      </c>
      <c r="F78" s="6">
        <f>205/747</f>
        <v/>
      </c>
      <c r="G78" s="7" t="inlineStr">
        <is>
          <t>SAD</t>
        </is>
      </c>
      <c r="H78" s="5" t="n">
        <v>91</v>
      </c>
      <c r="I78" s="6">
        <f>91/698</f>
        <v/>
      </c>
      <c r="J78" s="7" t="inlineStr">
        <is>
          <t>BJP</t>
        </is>
      </c>
      <c r="K78" s="5" t="n">
        <v>-114</v>
      </c>
      <c r="L78" s="8">
        <f>I78-F78</f>
        <v/>
      </c>
      <c r="M78" s="5" t="n">
        <v>358</v>
      </c>
      <c r="N78" s="5" t="n">
        <v>698</v>
      </c>
    </row>
    <row r="79" ht="20" customHeight="1">
      <c r="A79" s="9" t="n">
        <v>78</v>
      </c>
      <c r="B79" s="10" t="inlineStr">
        <is>
          <t>Ajnala (Ward 4)</t>
        </is>
      </c>
      <c r="C79" s="10" t="inlineStr">
        <is>
          <t>ਅਜਨਾਲਾ (ਵਾਰਡ 4)</t>
        </is>
      </c>
      <c r="D79" s="16" t="inlineStr">
        <is>
          <t>Lost in 2024 (to INC)</t>
        </is>
      </c>
      <c r="E79" s="12" t="n">
        <v>351</v>
      </c>
      <c r="F79" s="13">
        <f>351/869</f>
        <v/>
      </c>
      <c r="G79" s="14" t="inlineStr">
        <is>
          <t>AAP</t>
        </is>
      </c>
      <c r="H79" s="12" t="n">
        <v>182</v>
      </c>
      <c r="I79" s="13">
        <f>182/764</f>
        <v/>
      </c>
      <c r="J79" s="14" t="inlineStr">
        <is>
          <t>INC</t>
        </is>
      </c>
      <c r="K79" s="12" t="n">
        <v>-169</v>
      </c>
      <c r="L79" s="15">
        <f>I79-F79</f>
        <v/>
      </c>
      <c r="M79" s="12" t="n">
        <v>9</v>
      </c>
      <c r="N79" s="12" t="n">
        <v>764</v>
      </c>
    </row>
    <row r="80" ht="20" customHeight="1">
      <c r="A80" s="2" t="n">
        <v>79</v>
      </c>
      <c r="B80" s="3" t="inlineStr">
        <is>
          <t>Ajnala (Ward 5)</t>
        </is>
      </c>
      <c r="C80" s="3" t="inlineStr">
        <is>
          <t>ਅਜਨਾਲਾ (ਵਾਰਡ 5)</t>
        </is>
      </c>
      <c r="D80" s="17" t="inlineStr">
        <is>
          <t>Lost Both Times (Deficit)</t>
        </is>
      </c>
      <c r="E80" s="5" t="n">
        <v>220</v>
      </c>
      <c r="F80" s="6">
        <f>220/715</f>
        <v/>
      </c>
      <c r="G80" s="7" t="inlineStr">
        <is>
          <t>SAD</t>
        </is>
      </c>
      <c r="H80" s="5" t="n">
        <v>184</v>
      </c>
      <c r="I80" s="6">
        <f>184/675</f>
        <v/>
      </c>
      <c r="J80" s="7" t="inlineStr">
        <is>
          <t>BJP</t>
        </is>
      </c>
      <c r="K80" s="5" t="n">
        <v>-36</v>
      </c>
      <c r="L80" s="8">
        <f>I80-F80</f>
        <v/>
      </c>
      <c r="M80" s="5" t="n">
        <v>117</v>
      </c>
      <c r="N80" s="5" t="n">
        <v>675</v>
      </c>
    </row>
    <row r="81" ht="20" customHeight="1">
      <c r="A81" s="9" t="n">
        <v>80</v>
      </c>
      <c r="B81" s="10" t="inlineStr">
        <is>
          <t>Ajnala (Ward 6)</t>
        </is>
      </c>
      <c r="C81" s="10" t="inlineStr">
        <is>
          <t>ਅਜਨਾਲਾ (ਵਾਰਡ 6)</t>
        </is>
      </c>
      <c r="D81" s="17" t="inlineStr">
        <is>
          <t>Lost Both Times (Deficit)</t>
        </is>
      </c>
      <c r="E81" s="12" t="n">
        <v>221</v>
      </c>
      <c r="F81" s="13">
        <f>221/853</f>
        <v/>
      </c>
      <c r="G81" s="14" t="inlineStr">
        <is>
          <t>SAD</t>
        </is>
      </c>
      <c r="H81" s="12" t="n">
        <v>161</v>
      </c>
      <c r="I81" s="13">
        <f>161/732</f>
        <v/>
      </c>
      <c r="J81" s="14" t="inlineStr">
        <is>
          <t>BJP</t>
        </is>
      </c>
      <c r="K81" s="12" t="n">
        <v>-60</v>
      </c>
      <c r="L81" s="15">
        <f>I81-F81</f>
        <v/>
      </c>
      <c r="M81" s="12" t="n">
        <v>227</v>
      </c>
      <c r="N81" s="12" t="n">
        <v>732</v>
      </c>
    </row>
    <row r="82" ht="20" customHeight="1">
      <c r="A82" s="2" t="n">
        <v>81</v>
      </c>
      <c r="B82" s="3" t="inlineStr">
        <is>
          <t>Ajnala (Ward 7)</t>
        </is>
      </c>
      <c r="C82" s="3" t="inlineStr">
        <is>
          <t>ਅਜਨਾਲਾ (ਵਾਰਡ 7)</t>
        </is>
      </c>
      <c r="D82" s="17" t="inlineStr">
        <is>
          <t>Lost Both Times (Deficit)</t>
        </is>
      </c>
      <c r="E82" s="5" t="n">
        <v>206</v>
      </c>
      <c r="F82" s="6">
        <f>206/674</f>
        <v/>
      </c>
      <c r="G82" s="7" t="inlineStr">
        <is>
          <t>SAD</t>
        </is>
      </c>
      <c r="H82" s="5" t="n">
        <v>204</v>
      </c>
      <c r="I82" s="6">
        <f>204/622</f>
        <v/>
      </c>
      <c r="J82" s="7" t="inlineStr">
        <is>
          <t>BJP</t>
        </is>
      </c>
      <c r="K82" s="5" t="n">
        <v>-2</v>
      </c>
      <c r="L82" s="8">
        <f>I82-F82</f>
        <v/>
      </c>
      <c r="M82" s="5" t="n">
        <v>74</v>
      </c>
      <c r="N82" s="5" t="n">
        <v>622</v>
      </c>
    </row>
    <row r="83" ht="20" customHeight="1">
      <c r="A83" s="9" t="n">
        <v>82</v>
      </c>
      <c r="B83" s="10" t="inlineStr">
        <is>
          <t>Ajnala (Ward 8)</t>
        </is>
      </c>
      <c r="C83" s="10" t="inlineStr">
        <is>
          <t>ਅਜਨਾਲਾ (ਵਾਰਡ 8)</t>
        </is>
      </c>
      <c r="D83" s="17" t="inlineStr">
        <is>
          <t>Lost Both Times (Deficit)</t>
        </is>
      </c>
      <c r="E83" s="12" t="n">
        <v>194</v>
      </c>
      <c r="F83" s="13">
        <f>194/771</f>
        <v/>
      </c>
      <c r="G83" s="14" t="inlineStr">
        <is>
          <t>INC</t>
        </is>
      </c>
      <c r="H83" s="12" t="n">
        <v>233</v>
      </c>
      <c r="I83" s="13">
        <f>233/738</f>
        <v/>
      </c>
      <c r="J83" s="14" t="inlineStr">
        <is>
          <t>INC</t>
        </is>
      </c>
      <c r="K83" s="12" t="n">
        <v>39</v>
      </c>
      <c r="L83" s="15">
        <f>I83-F83</f>
        <v/>
      </c>
      <c r="M83" s="12" t="n">
        <v>78</v>
      </c>
      <c r="N83" s="12" t="n">
        <v>738</v>
      </c>
    </row>
    <row r="84" ht="20" customHeight="1">
      <c r="A84" s="2" t="n">
        <v>83</v>
      </c>
      <c r="B84" s="3" t="inlineStr">
        <is>
          <t>Ajnala (Ward 9)</t>
        </is>
      </c>
      <c r="C84" s="3" t="inlineStr">
        <is>
          <t>ਅਜਨਾਲਾ (ਵਾਰਡ 9)</t>
        </is>
      </c>
      <c r="D84" s="11" t="inlineStr">
        <is>
          <t>Won Both Times (Stronghold)</t>
        </is>
      </c>
      <c r="E84" s="5" t="n">
        <v>211</v>
      </c>
      <c r="F84" s="6">
        <f>211/600</f>
        <v/>
      </c>
      <c r="G84" s="7" t="inlineStr">
        <is>
          <t>AAP</t>
        </is>
      </c>
      <c r="H84" s="5" t="n">
        <v>255</v>
      </c>
      <c r="I84" s="6">
        <f>255/637</f>
        <v/>
      </c>
      <c r="J84" s="7" t="inlineStr">
        <is>
          <t>AAP</t>
        </is>
      </c>
      <c r="K84" s="5" t="n">
        <v>44</v>
      </c>
      <c r="L84" s="8">
        <f>I84-F84</f>
        <v/>
      </c>
      <c r="M84" s="5" t="n">
        <v>89</v>
      </c>
      <c r="N84" s="5" t="n">
        <v>637</v>
      </c>
    </row>
    <row r="85" ht="20" customHeight="1">
      <c r="A85" s="9" t="n">
        <v>84</v>
      </c>
      <c r="B85" s="10" t="inlineStr">
        <is>
          <t>Ajnala (Ward 10)</t>
        </is>
      </c>
      <c r="C85" s="10" t="inlineStr">
        <is>
          <t>ਅਜਨਾਲਾ (ਵਾਰਡ 10)</t>
        </is>
      </c>
      <c r="D85" s="11" t="inlineStr">
        <is>
          <t>Won Both Times (Stronghold)</t>
        </is>
      </c>
      <c r="E85" s="12" t="n">
        <v>413</v>
      </c>
      <c r="F85" s="13">
        <f>413/852</f>
        <v/>
      </c>
      <c r="G85" s="14" t="inlineStr">
        <is>
          <t>AAP</t>
        </is>
      </c>
      <c r="H85" s="12" t="n">
        <v>242</v>
      </c>
      <c r="I85" s="13">
        <f>242/682</f>
        <v/>
      </c>
      <c r="J85" s="14" t="inlineStr">
        <is>
          <t>AAP</t>
        </is>
      </c>
      <c r="K85" s="12" t="n">
        <v>-171</v>
      </c>
      <c r="L85" s="15">
        <f>I85-F85</f>
        <v/>
      </c>
      <c r="M85" s="12" t="n">
        <v>65</v>
      </c>
      <c r="N85" s="12" t="n">
        <v>682</v>
      </c>
    </row>
    <row r="86" ht="20" customHeight="1">
      <c r="A86" s="2" t="n">
        <v>85</v>
      </c>
      <c r="B86" s="3" t="inlineStr">
        <is>
          <t>Ajnala (Ward 11)</t>
        </is>
      </c>
      <c r="C86" s="3" t="inlineStr">
        <is>
          <t>ਅਜਨਾਲਾ (ਵਾਰਡ 11)</t>
        </is>
      </c>
      <c r="D86" s="4" t="inlineStr">
        <is>
          <t>Gained in 2024 (New Win)</t>
        </is>
      </c>
      <c r="E86" s="5" t="n">
        <v>184</v>
      </c>
      <c r="F86" s="6">
        <f>184/650</f>
        <v/>
      </c>
      <c r="G86" s="7" t="inlineStr">
        <is>
          <t>SAD</t>
        </is>
      </c>
      <c r="H86" s="5" t="n">
        <v>252</v>
      </c>
      <c r="I86" s="6">
        <f>252/611</f>
        <v/>
      </c>
      <c r="J86" s="7" t="inlineStr">
        <is>
          <t>AAP</t>
        </is>
      </c>
      <c r="K86" s="5" t="n">
        <v>68</v>
      </c>
      <c r="L86" s="8">
        <f>I86-F86</f>
        <v/>
      </c>
      <c r="M86" s="5" t="n">
        <v>51</v>
      </c>
      <c r="N86" s="5" t="n">
        <v>611</v>
      </c>
    </row>
    <row r="87" ht="20" customHeight="1">
      <c r="A87" s="9" t="n">
        <v>86</v>
      </c>
      <c r="B87" s="10" t="inlineStr">
        <is>
          <t>Ajnala (Ward 12)</t>
        </is>
      </c>
      <c r="C87" s="10" t="inlineStr">
        <is>
          <t>ਅਜਨਾਲਾ (ਵਾਰਡ 12)</t>
        </is>
      </c>
      <c r="D87" s="16" t="inlineStr">
        <is>
          <t>Lost in 2024 (to BJP)</t>
        </is>
      </c>
      <c r="E87" s="12" t="n">
        <v>201</v>
      </c>
      <c r="F87" s="13">
        <f>201/536</f>
        <v/>
      </c>
      <c r="G87" s="14" t="inlineStr">
        <is>
          <t>AAP</t>
        </is>
      </c>
      <c r="H87" s="12" t="n">
        <v>151</v>
      </c>
      <c r="I87" s="13">
        <f>151/492</f>
        <v/>
      </c>
      <c r="J87" s="14" t="inlineStr">
        <is>
          <t>BJP</t>
        </is>
      </c>
      <c r="K87" s="12" t="n">
        <v>-50</v>
      </c>
      <c r="L87" s="15">
        <f>I87-F87</f>
        <v/>
      </c>
      <c r="M87" s="12" t="n">
        <v>34</v>
      </c>
      <c r="N87" s="12" t="n">
        <v>492</v>
      </c>
    </row>
    <row r="88" ht="20" customHeight="1">
      <c r="A88" s="2" t="n">
        <v>87</v>
      </c>
      <c r="B88" s="3" t="inlineStr">
        <is>
          <t>Ajnala (Ward 13)</t>
        </is>
      </c>
      <c r="C88" s="3" t="inlineStr">
        <is>
          <t>ਅਜਨਾਲਾ (ਵਾਰਡ 13)</t>
        </is>
      </c>
      <c r="D88" s="11" t="inlineStr">
        <is>
          <t>Won Both Times (Stronghold)</t>
        </is>
      </c>
      <c r="E88" s="5" t="n">
        <v>196</v>
      </c>
      <c r="F88" s="6">
        <f>196/413</f>
        <v/>
      </c>
      <c r="G88" s="7" t="inlineStr">
        <is>
          <t>AAP</t>
        </is>
      </c>
      <c r="H88" s="5" t="n">
        <v>120</v>
      </c>
      <c r="I88" s="6">
        <f>120/361</f>
        <v/>
      </c>
      <c r="J88" s="7" t="inlineStr">
        <is>
          <t>AAP</t>
        </is>
      </c>
      <c r="K88" s="5" t="n">
        <v>-76</v>
      </c>
      <c r="L88" s="8">
        <f>I88-F88</f>
        <v/>
      </c>
      <c r="M88" s="5" t="n">
        <v>8</v>
      </c>
      <c r="N88" s="5" t="n">
        <v>361</v>
      </c>
    </row>
    <row r="89" ht="20" customHeight="1">
      <c r="A89" s="9" t="n">
        <v>88</v>
      </c>
      <c r="B89" s="10" t="inlineStr">
        <is>
          <t>Ajnala (Ward 14)</t>
        </is>
      </c>
      <c r="C89" s="10" t="inlineStr">
        <is>
          <t>ਅਜਨਾਲਾ (ਵਾਰਡ 14)</t>
        </is>
      </c>
      <c r="D89" s="16" t="inlineStr">
        <is>
          <t>Lost in 2024 (to BJP)</t>
        </is>
      </c>
      <c r="E89" s="12" t="n">
        <v>203</v>
      </c>
      <c r="F89" s="13">
        <f>203/486</f>
        <v/>
      </c>
      <c r="G89" s="14" t="inlineStr">
        <is>
          <t>AAP</t>
        </is>
      </c>
      <c r="H89" s="12" t="n">
        <v>141</v>
      </c>
      <c r="I89" s="13">
        <f>141/485</f>
        <v/>
      </c>
      <c r="J89" s="14" t="inlineStr">
        <is>
          <t>BJP</t>
        </is>
      </c>
      <c r="K89" s="12" t="n">
        <v>-62</v>
      </c>
      <c r="L89" s="15">
        <f>I89-F89</f>
        <v/>
      </c>
      <c r="M89" s="12" t="n">
        <v>22</v>
      </c>
      <c r="N89" s="12" t="n">
        <v>485</v>
      </c>
    </row>
    <row r="90" ht="20" customHeight="1">
      <c r="A90" s="2" t="n">
        <v>89</v>
      </c>
      <c r="B90" s="3" t="inlineStr">
        <is>
          <t>Ajnala (Ward 15)</t>
        </is>
      </c>
      <c r="C90" s="3" t="inlineStr">
        <is>
          <t>ਅਜਨਾਲਾ (ਵਾਰਡ 15)</t>
        </is>
      </c>
      <c r="D90" s="17" t="inlineStr">
        <is>
          <t>Lost Both Times (Deficit)</t>
        </is>
      </c>
      <c r="E90" s="5" t="n">
        <v>101</v>
      </c>
      <c r="F90" s="6">
        <f>101/436</f>
        <v/>
      </c>
      <c r="G90" s="7" t="inlineStr">
        <is>
          <t>SAD</t>
        </is>
      </c>
      <c r="H90" s="5" t="n">
        <v>139</v>
      </c>
      <c r="I90" s="6">
        <f>139/390</f>
        <v/>
      </c>
      <c r="J90" s="7" t="inlineStr">
        <is>
          <t>BJP</t>
        </is>
      </c>
      <c r="K90" s="5" t="n">
        <v>38</v>
      </c>
      <c r="L90" s="8">
        <f>I90-F90</f>
        <v/>
      </c>
      <c r="M90" s="5" t="n">
        <v>12</v>
      </c>
      <c r="N90" s="5" t="n">
        <v>390</v>
      </c>
    </row>
    <row r="91" ht="20" customHeight="1">
      <c r="A91" s="9" t="n">
        <v>90</v>
      </c>
      <c r="B91" s="10" t="inlineStr">
        <is>
          <t>Ajnala (Tehsil/Civil)</t>
        </is>
      </c>
      <c r="C91" s="10" t="inlineStr">
        <is>
          <t>ਅਜਨਾਲਾ (ਤਹਿਸੀਲ/ਸਿਵਲ)</t>
        </is>
      </c>
      <c r="D91" s="11" t="inlineStr">
        <is>
          <t>Won Both Times (Stronghold)</t>
        </is>
      </c>
      <c r="E91" s="12" t="n">
        <v>425</v>
      </c>
      <c r="F91" s="13">
        <f>425/945</f>
        <v/>
      </c>
      <c r="G91" s="14" t="inlineStr">
        <is>
          <t>AAP</t>
        </is>
      </c>
      <c r="H91" s="12" t="n">
        <v>359</v>
      </c>
      <c r="I91" s="13">
        <f>359/854</f>
        <v/>
      </c>
      <c r="J91" s="14" t="inlineStr">
        <is>
          <t>AAP</t>
        </is>
      </c>
      <c r="K91" s="12" t="n">
        <v>-66</v>
      </c>
      <c r="L91" s="15">
        <f>I91-F91</f>
        <v/>
      </c>
      <c r="M91" s="12" t="n">
        <v>167</v>
      </c>
      <c r="N91" s="12" t="n">
        <v>854</v>
      </c>
    </row>
    <row r="92" ht="20" customHeight="1">
      <c r="A92" s="2" t="n">
        <v>91</v>
      </c>
      <c r="B92" s="3" t="inlineStr">
        <is>
          <t>Sarai</t>
        </is>
      </c>
      <c r="C92" s="3" t="inlineStr">
        <is>
          <t>ਸਰਾਏ</t>
        </is>
      </c>
      <c r="D92" s="17" t="inlineStr">
        <is>
          <t>Lost Both Times (Deficit)</t>
        </is>
      </c>
      <c r="E92" s="5" t="n">
        <v>260</v>
      </c>
      <c r="F92" s="6">
        <f>260/812</f>
        <v/>
      </c>
      <c r="G92" s="7" t="inlineStr">
        <is>
          <t>SAD</t>
        </is>
      </c>
      <c r="H92" s="5" t="n">
        <v>233</v>
      </c>
      <c r="I92" s="6">
        <f>233/712</f>
        <v/>
      </c>
      <c r="J92" s="7" t="inlineStr">
        <is>
          <t>INC</t>
        </is>
      </c>
      <c r="K92" s="5" t="n">
        <v>-27</v>
      </c>
      <c r="L92" s="8">
        <f>I92-F92</f>
        <v/>
      </c>
      <c r="M92" s="5" t="n">
        <v>12</v>
      </c>
      <c r="N92" s="5" t="n">
        <v>712</v>
      </c>
    </row>
    <row r="93" ht="20" customHeight="1">
      <c r="A93" s="9" t="n">
        <v>92</v>
      </c>
      <c r="B93" s="10" t="inlineStr">
        <is>
          <t>Riar</t>
        </is>
      </c>
      <c r="C93" s="10" t="inlineStr">
        <is>
          <t>ਰੀਆੜ</t>
        </is>
      </c>
      <c r="D93" s="11" t="inlineStr">
        <is>
          <t>Won Both Times (Stronghold)</t>
        </is>
      </c>
      <c r="E93" s="12" t="n">
        <v>250</v>
      </c>
      <c r="F93" s="13">
        <f>250/555</f>
        <v/>
      </c>
      <c r="G93" s="14" t="inlineStr">
        <is>
          <t>AAP</t>
        </is>
      </c>
      <c r="H93" s="12" t="n">
        <v>238</v>
      </c>
      <c r="I93" s="13">
        <f>238/495</f>
        <v/>
      </c>
      <c r="J93" s="14" t="inlineStr">
        <is>
          <t>AAP</t>
        </is>
      </c>
      <c r="K93" s="12" t="n">
        <v>-12</v>
      </c>
      <c r="L93" s="15">
        <f>I93-F93</f>
        <v/>
      </c>
      <c r="M93" s="12" t="n">
        <v>102</v>
      </c>
      <c r="N93" s="12" t="n">
        <v>495</v>
      </c>
    </row>
    <row r="94" ht="20" customHeight="1">
      <c r="A94" s="2" t="n">
        <v>93</v>
      </c>
      <c r="B94" s="3" t="inlineStr">
        <is>
          <t>Pandori Sukha Singh</t>
        </is>
      </c>
      <c r="C94" s="3" t="inlineStr">
        <is>
          <t>ਪੰਡੋਰੀ ਸੁੱਖਾ ਸਿੰਘ</t>
        </is>
      </c>
      <c r="D94" s="11" t="inlineStr">
        <is>
          <t>Won Both Times (Stronghold)</t>
        </is>
      </c>
      <c r="E94" s="5" t="n">
        <v>163</v>
      </c>
      <c r="F94" s="6">
        <f>163/458</f>
        <v/>
      </c>
      <c r="G94" s="7" t="inlineStr">
        <is>
          <t>AAP</t>
        </is>
      </c>
      <c r="H94" s="5" t="n">
        <v>202</v>
      </c>
      <c r="I94" s="6">
        <f>202/412</f>
        <v/>
      </c>
      <c r="J94" s="7" t="inlineStr">
        <is>
          <t>AAP</t>
        </is>
      </c>
      <c r="K94" s="5" t="n">
        <v>39</v>
      </c>
      <c r="L94" s="8">
        <f>I94-F94</f>
        <v/>
      </c>
      <c r="M94" s="5" t="n">
        <v>108</v>
      </c>
      <c r="N94" s="5" t="n">
        <v>412</v>
      </c>
    </row>
    <row r="95" ht="20" customHeight="1">
      <c r="A95" s="9" t="n">
        <v>94</v>
      </c>
      <c r="B95" s="10" t="inlineStr">
        <is>
          <t>Bhakha Tara Singh</t>
        </is>
      </c>
      <c r="C95" s="10" t="inlineStr">
        <is>
          <t>ਭੱਖਾ ਤਾਰਾ ਸਿੰਘ</t>
        </is>
      </c>
      <c r="D95" s="11" t="inlineStr">
        <is>
          <t>Won Both Times (Stronghold)</t>
        </is>
      </c>
      <c r="E95" s="12" t="n">
        <v>257</v>
      </c>
      <c r="F95" s="13">
        <f>257/702</f>
        <v/>
      </c>
      <c r="G95" s="14" t="inlineStr">
        <is>
          <t>AAP</t>
        </is>
      </c>
      <c r="H95" s="12" t="n">
        <v>267</v>
      </c>
      <c r="I95" s="13">
        <f>267/672</f>
        <v/>
      </c>
      <c r="J95" s="14" t="inlineStr">
        <is>
          <t>AAP</t>
        </is>
      </c>
      <c r="K95" s="12" t="n">
        <v>10</v>
      </c>
      <c r="L95" s="15">
        <f>I95-F95</f>
        <v/>
      </c>
      <c r="M95" s="12" t="n">
        <v>38</v>
      </c>
      <c r="N95" s="12" t="n">
        <v>672</v>
      </c>
    </row>
    <row r="96" ht="20" customHeight="1">
      <c r="A96" s="2" t="n">
        <v>95</v>
      </c>
      <c r="B96" s="3" t="inlineStr">
        <is>
          <t>Bhakha Hari Singh</t>
        </is>
      </c>
      <c r="C96" s="3" t="inlineStr">
        <is>
          <t>ਭੱਖਾ ਹਰੀ ਸਿੰਘ</t>
        </is>
      </c>
      <c r="D96" s="17" t="inlineStr">
        <is>
          <t>Lost Both Times (Deficit)</t>
        </is>
      </c>
      <c r="E96" s="5" t="n">
        <v>82</v>
      </c>
      <c r="F96" s="6">
        <f>82/507</f>
        <v/>
      </c>
      <c r="G96" s="7" t="inlineStr">
        <is>
          <t>INC</t>
        </is>
      </c>
      <c r="H96" s="5" t="n">
        <v>162</v>
      </c>
      <c r="I96" s="6">
        <f>162/487</f>
        <v/>
      </c>
      <c r="J96" s="7" t="inlineStr">
        <is>
          <t>INC</t>
        </is>
      </c>
      <c r="K96" s="5" t="n">
        <v>80</v>
      </c>
      <c r="L96" s="8">
        <f>I96-F96</f>
        <v/>
      </c>
      <c r="M96" s="5" t="n">
        <v>27</v>
      </c>
      <c r="N96" s="5" t="n">
        <v>487</v>
      </c>
    </row>
    <row r="97" ht="20" customHeight="1">
      <c r="A97" s="9" t="n">
        <v>96</v>
      </c>
      <c r="B97" s="10" t="inlineStr">
        <is>
          <t>Panj Garai Nijjran</t>
        </is>
      </c>
      <c r="C97" s="10" t="inlineStr">
        <is>
          <t>ਪੰਜ ਗਰਾਈਂ ਨਿੱਜਰਾਂ</t>
        </is>
      </c>
      <c r="D97" s="11" t="inlineStr">
        <is>
          <t>Won Both Times (Stronghold)</t>
        </is>
      </c>
      <c r="E97" s="12" t="n">
        <v>307</v>
      </c>
      <c r="F97" s="13">
        <f>307/761</f>
        <v/>
      </c>
      <c r="G97" s="14" t="inlineStr">
        <is>
          <t>AAP</t>
        </is>
      </c>
      <c r="H97" s="12" t="n">
        <v>249</v>
      </c>
      <c r="I97" s="13">
        <f>249/630</f>
        <v/>
      </c>
      <c r="J97" s="14" t="inlineStr">
        <is>
          <t>AAP</t>
        </is>
      </c>
      <c r="K97" s="12" t="n">
        <v>-58</v>
      </c>
      <c r="L97" s="15">
        <f>I97-F97</f>
        <v/>
      </c>
      <c r="M97" s="12" t="n">
        <v>76</v>
      </c>
      <c r="N97" s="12" t="n">
        <v>630</v>
      </c>
    </row>
    <row r="98" ht="20" customHeight="1">
      <c r="A98" s="2" t="n">
        <v>97</v>
      </c>
      <c r="B98" s="3" t="inlineStr">
        <is>
          <t>Rokhe</t>
        </is>
      </c>
      <c r="C98" s="3" t="inlineStr">
        <is>
          <t>ਰੋਖੇ</t>
        </is>
      </c>
      <c r="D98" s="17" t="inlineStr">
        <is>
          <t>Lost Both Times (Deficit)</t>
        </is>
      </c>
      <c r="E98" s="5" t="n">
        <v>265</v>
      </c>
      <c r="F98" s="6">
        <f>265/888</f>
        <v/>
      </c>
      <c r="G98" s="7" t="inlineStr">
        <is>
          <t>INC</t>
        </is>
      </c>
      <c r="H98" s="5" t="n">
        <v>173</v>
      </c>
      <c r="I98" s="6">
        <f>173/693</f>
        <v/>
      </c>
      <c r="J98" s="7" t="inlineStr">
        <is>
          <t>INC</t>
        </is>
      </c>
      <c r="K98" s="5" t="n">
        <v>-92</v>
      </c>
      <c r="L98" s="8">
        <f>I98-F98</f>
        <v/>
      </c>
      <c r="M98" s="5" t="n">
        <v>202</v>
      </c>
      <c r="N98" s="5" t="n">
        <v>693</v>
      </c>
    </row>
    <row r="99" ht="20" customHeight="1">
      <c r="A99" s="9" t="n">
        <v>98</v>
      </c>
      <c r="B99" s="10" t="inlineStr">
        <is>
          <t>Ugar Aulakh</t>
        </is>
      </c>
      <c r="C99" s="10" t="inlineStr">
        <is>
          <t>ਉਗਰ ਔਲਖ</t>
        </is>
      </c>
      <c r="D99" s="16" t="inlineStr">
        <is>
          <t>Lost in 2024 (to INC)</t>
        </is>
      </c>
      <c r="E99" s="12" t="n">
        <v>243</v>
      </c>
      <c r="F99" s="13">
        <f>243/566</f>
        <v/>
      </c>
      <c r="G99" s="14" t="inlineStr">
        <is>
          <t>AAP</t>
        </is>
      </c>
      <c r="H99" s="12" t="n">
        <v>146</v>
      </c>
      <c r="I99" s="13">
        <f>146/533</f>
        <v/>
      </c>
      <c r="J99" s="14" t="inlineStr">
        <is>
          <t>INC</t>
        </is>
      </c>
      <c r="K99" s="12" t="n">
        <v>-97</v>
      </c>
      <c r="L99" s="15">
        <f>I99-F99</f>
        <v/>
      </c>
      <c r="M99" s="12" t="n">
        <v>71</v>
      </c>
      <c r="N99" s="12" t="n">
        <v>533</v>
      </c>
    </row>
    <row r="100" ht="20" customHeight="1">
      <c r="A100" s="2" t="n">
        <v>99</v>
      </c>
      <c r="B100" s="3" t="inlineStr">
        <is>
          <t>Ugar Aulakh</t>
        </is>
      </c>
      <c r="C100" s="3" t="inlineStr">
        <is>
          <t>ਉਗਰ ਔਲਖ</t>
        </is>
      </c>
      <c r="D100" s="16" t="inlineStr">
        <is>
          <t>Lost in 2024 (to INC)</t>
        </is>
      </c>
      <c r="E100" s="5" t="n">
        <v>273</v>
      </c>
      <c r="F100" s="6">
        <f>273/555</f>
        <v/>
      </c>
      <c r="G100" s="7" t="inlineStr">
        <is>
          <t>AAP</t>
        </is>
      </c>
      <c r="H100" s="5" t="n">
        <v>165</v>
      </c>
      <c r="I100" s="6">
        <f>165/493</f>
        <v/>
      </c>
      <c r="J100" s="7" t="inlineStr">
        <is>
          <t>INC</t>
        </is>
      </c>
      <c r="K100" s="5" t="n">
        <v>-108</v>
      </c>
      <c r="L100" s="8">
        <f>I100-F100</f>
        <v/>
      </c>
      <c r="M100" s="5" t="n">
        <v>21</v>
      </c>
      <c r="N100" s="5" t="n">
        <v>493</v>
      </c>
    </row>
    <row r="101" ht="20" customHeight="1">
      <c r="A101" s="9" t="n">
        <v>100</v>
      </c>
      <c r="B101" s="10" t="inlineStr">
        <is>
          <t>Rajia</t>
        </is>
      </c>
      <c r="C101" s="10" t="inlineStr">
        <is>
          <t>ਰਾਜੀਆ</t>
        </is>
      </c>
      <c r="D101" s="17" t="inlineStr">
        <is>
          <t>Lost Both Times (Deficit)</t>
        </is>
      </c>
      <c r="E101" s="12" t="n">
        <v>182</v>
      </c>
      <c r="F101" s="13">
        <f>182/639</f>
        <v/>
      </c>
      <c r="G101" s="14" t="inlineStr">
        <is>
          <t>SAD</t>
        </is>
      </c>
      <c r="H101" s="12" t="n">
        <v>186</v>
      </c>
      <c r="I101" s="13">
        <f>186/587</f>
        <v/>
      </c>
      <c r="J101" s="14" t="inlineStr">
        <is>
          <t>INC</t>
        </is>
      </c>
      <c r="K101" s="12" t="n">
        <v>4</v>
      </c>
      <c r="L101" s="15">
        <f>I101-F101</f>
        <v/>
      </c>
      <c r="M101" s="12" t="n">
        <v>22</v>
      </c>
      <c r="N101" s="12" t="n">
        <v>587</v>
      </c>
    </row>
    <row r="102" ht="20" customHeight="1">
      <c r="A102" s="2" t="n">
        <v>101</v>
      </c>
      <c r="B102" s="3" t="inlineStr">
        <is>
          <t>Terhi</t>
        </is>
      </c>
      <c r="C102" s="3" t="inlineStr">
        <is>
          <t>ਤੇੜ੍ਹੀ</t>
        </is>
      </c>
      <c r="D102" s="17" t="inlineStr">
        <is>
          <t>Lost Both Times (Deficit)</t>
        </is>
      </c>
      <c r="E102" s="5" t="n">
        <v>183</v>
      </c>
      <c r="F102" s="6">
        <f>183/688</f>
        <v/>
      </c>
      <c r="G102" s="7" t="inlineStr">
        <is>
          <t>SAD</t>
        </is>
      </c>
      <c r="H102" s="5" t="n">
        <v>133</v>
      </c>
      <c r="I102" s="6">
        <f>133/581</f>
        <v/>
      </c>
      <c r="J102" s="7" t="inlineStr">
        <is>
          <t>INC</t>
        </is>
      </c>
      <c r="K102" s="5" t="n">
        <v>-50</v>
      </c>
      <c r="L102" s="8">
        <f>I102-F102</f>
        <v/>
      </c>
      <c r="M102" s="5" t="n">
        <v>65</v>
      </c>
      <c r="N102" s="5" t="n">
        <v>581</v>
      </c>
    </row>
    <row r="103" ht="20" customHeight="1">
      <c r="A103" s="9" t="n">
        <v>102</v>
      </c>
      <c r="B103" s="10" t="inlineStr">
        <is>
          <t>Dhariwal Kaler</t>
        </is>
      </c>
      <c r="C103" s="10" t="inlineStr">
        <is>
          <t>ਧਾਰੀਵਾਲ ਕਲੇਰ</t>
        </is>
      </c>
      <c r="D103" s="11" t="inlineStr">
        <is>
          <t>Won Both Times (Stronghold)</t>
        </is>
      </c>
      <c r="E103" s="12" t="n">
        <v>329</v>
      </c>
      <c r="F103" s="13">
        <f>329/680</f>
        <v/>
      </c>
      <c r="G103" s="14" t="inlineStr">
        <is>
          <t>AAP</t>
        </is>
      </c>
      <c r="H103" s="12" t="n">
        <v>198</v>
      </c>
      <c r="I103" s="13">
        <f>198/508</f>
        <v/>
      </c>
      <c r="J103" s="14" t="inlineStr">
        <is>
          <t>AAP</t>
        </is>
      </c>
      <c r="K103" s="12" t="n">
        <v>-131</v>
      </c>
      <c r="L103" s="15">
        <f>I103-F103</f>
        <v/>
      </c>
      <c r="M103" s="12" t="n">
        <v>97</v>
      </c>
      <c r="N103" s="12" t="n">
        <v>508</v>
      </c>
    </row>
    <row r="104" ht="20" customHeight="1">
      <c r="A104" s="2" t="n">
        <v>103</v>
      </c>
      <c r="B104" s="3" t="inlineStr">
        <is>
          <t>Dhariwal Kaler</t>
        </is>
      </c>
      <c r="C104" s="3" t="inlineStr">
        <is>
          <t>ਧਾਰੀਵਾਲ ਕਲੇਰ</t>
        </is>
      </c>
      <c r="D104" s="17" t="inlineStr">
        <is>
          <t>Lost Both Times (Deficit)</t>
        </is>
      </c>
      <c r="E104" s="5" t="n">
        <v>212</v>
      </c>
      <c r="F104" s="6">
        <f>212/703</f>
        <v/>
      </c>
      <c r="G104" s="7" t="inlineStr">
        <is>
          <t>INC</t>
        </is>
      </c>
      <c r="H104" s="5" t="n">
        <v>174</v>
      </c>
      <c r="I104" s="6">
        <f>174/568</f>
        <v/>
      </c>
      <c r="J104" s="7" t="inlineStr">
        <is>
          <t>INC</t>
        </is>
      </c>
      <c r="K104" s="5" t="n">
        <v>-38</v>
      </c>
      <c r="L104" s="8">
        <f>I104-F104</f>
        <v/>
      </c>
      <c r="M104" s="5" t="n">
        <v>69</v>
      </c>
      <c r="N104" s="5" t="n">
        <v>568</v>
      </c>
    </row>
    <row r="105" ht="20" customHeight="1">
      <c r="A105" s="9" t="n">
        <v>104</v>
      </c>
      <c r="B105" s="10" t="inlineStr">
        <is>
          <t>Ibrahim Pura</t>
        </is>
      </c>
      <c r="C105" s="10" t="inlineStr">
        <is>
          <t>ਇਬਰਾਹਿਮ ਪੁਰਾ</t>
        </is>
      </c>
      <c r="D105" s="11" t="inlineStr">
        <is>
          <t>Won Both Times (Stronghold)</t>
        </is>
      </c>
      <c r="E105" s="12" t="n">
        <v>183</v>
      </c>
      <c r="F105" s="13">
        <f>183/521</f>
        <v/>
      </c>
      <c r="G105" s="14" t="inlineStr">
        <is>
          <t>AAP</t>
        </is>
      </c>
      <c r="H105" s="12" t="n">
        <v>130</v>
      </c>
      <c r="I105" s="13">
        <f>130/431</f>
        <v/>
      </c>
      <c r="J105" s="14" t="inlineStr">
        <is>
          <t>AAP</t>
        </is>
      </c>
      <c r="K105" s="12" t="n">
        <v>-53</v>
      </c>
      <c r="L105" s="15">
        <f>I105-F105</f>
        <v/>
      </c>
      <c r="M105" s="12" t="n">
        <v>25</v>
      </c>
      <c r="N105" s="12" t="n">
        <v>431</v>
      </c>
    </row>
    <row r="106" ht="20" customHeight="1">
      <c r="A106" s="2" t="n">
        <v>105</v>
      </c>
      <c r="B106" s="3" t="inlineStr">
        <is>
          <t>Kotli Amb</t>
        </is>
      </c>
      <c r="C106" s="3" t="inlineStr">
        <is>
          <t>ਕੋਟਲੀ ਅੰਬ</t>
        </is>
      </c>
      <c r="D106" s="16" t="inlineStr">
        <is>
          <t>Lost in 2024 (to INC)</t>
        </is>
      </c>
      <c r="E106" s="5" t="n">
        <v>323</v>
      </c>
      <c r="F106" s="6">
        <f>323/625</f>
        <v/>
      </c>
      <c r="G106" s="7" t="inlineStr">
        <is>
          <t>AAP</t>
        </is>
      </c>
      <c r="H106" s="5" t="n">
        <v>159</v>
      </c>
      <c r="I106" s="6">
        <f>159/525</f>
        <v/>
      </c>
      <c r="J106" s="7" t="inlineStr">
        <is>
          <t>INC</t>
        </is>
      </c>
      <c r="K106" s="5" t="n">
        <v>-164</v>
      </c>
      <c r="L106" s="8">
        <f>I106-F106</f>
        <v/>
      </c>
      <c r="M106" s="5" t="n">
        <v>1</v>
      </c>
      <c r="N106" s="5" t="n">
        <v>525</v>
      </c>
    </row>
    <row r="107" ht="20" customHeight="1">
      <c r="A107" s="9" t="n">
        <v>106</v>
      </c>
      <c r="B107" s="10" t="inlineStr">
        <is>
          <t>Gujarpura</t>
        </is>
      </c>
      <c r="C107" s="10" t="inlineStr">
        <is>
          <t>ਗੁੱਜਰਪੁਰਾ</t>
        </is>
      </c>
      <c r="D107" s="11" t="inlineStr">
        <is>
          <t>Won Both Times (Stronghold)</t>
        </is>
      </c>
      <c r="E107" s="12" t="n">
        <v>249</v>
      </c>
      <c r="F107" s="13">
        <f>249/600</f>
        <v/>
      </c>
      <c r="G107" s="14" t="inlineStr">
        <is>
          <t>AAP</t>
        </is>
      </c>
      <c r="H107" s="12" t="n">
        <v>203</v>
      </c>
      <c r="I107" s="13">
        <f>203/478</f>
        <v/>
      </c>
      <c r="J107" s="14" t="inlineStr">
        <is>
          <t>AAP</t>
        </is>
      </c>
      <c r="K107" s="12" t="n">
        <v>-46</v>
      </c>
      <c r="L107" s="15">
        <f>I107-F107</f>
        <v/>
      </c>
      <c r="M107" s="12" t="n">
        <v>55</v>
      </c>
      <c r="N107" s="12" t="n">
        <v>478</v>
      </c>
    </row>
    <row r="108" ht="20" customHeight="1">
      <c r="A108" s="2" t="n">
        <v>107</v>
      </c>
      <c r="B108" s="3" t="inlineStr">
        <is>
          <t>Gujarpura</t>
        </is>
      </c>
      <c r="C108" s="3" t="inlineStr">
        <is>
          <t>ਗੁੱਜਰਪੁਰਾ</t>
        </is>
      </c>
      <c r="D108" s="11" t="inlineStr">
        <is>
          <t>Won Both Times (Stronghold)</t>
        </is>
      </c>
      <c r="E108" s="5" t="n">
        <v>238</v>
      </c>
      <c r="F108" s="6">
        <f>238/630</f>
        <v/>
      </c>
      <c r="G108" s="7" t="inlineStr">
        <is>
          <t>AAP</t>
        </is>
      </c>
      <c r="H108" s="5" t="n">
        <v>228</v>
      </c>
      <c r="I108" s="6">
        <f>228/527</f>
        <v/>
      </c>
      <c r="J108" s="7" t="inlineStr">
        <is>
          <t>AAP</t>
        </is>
      </c>
      <c r="K108" s="5" t="n">
        <v>-10</v>
      </c>
      <c r="L108" s="8">
        <f>I108-F108</f>
        <v/>
      </c>
      <c r="M108" s="5" t="n">
        <v>53</v>
      </c>
      <c r="N108" s="5" t="n">
        <v>527</v>
      </c>
    </row>
    <row r="109" ht="20" customHeight="1">
      <c r="A109" s="9" t="n">
        <v>108</v>
      </c>
      <c r="B109" s="10" t="inlineStr">
        <is>
          <t>Harar Khurd</t>
        </is>
      </c>
      <c r="C109" s="10" t="inlineStr">
        <is>
          <t>ਹਰੜ ਖੁਰਦ</t>
        </is>
      </c>
      <c r="D109" s="11" t="inlineStr">
        <is>
          <t>Won Both Times (Stronghold)</t>
        </is>
      </c>
      <c r="E109" s="12" t="n">
        <v>261</v>
      </c>
      <c r="F109" s="13">
        <f>261/615</f>
        <v/>
      </c>
      <c r="G109" s="14" t="inlineStr">
        <is>
          <t>AAP</t>
        </is>
      </c>
      <c r="H109" s="12" t="n">
        <v>248</v>
      </c>
      <c r="I109" s="13">
        <f>248/560</f>
        <v/>
      </c>
      <c r="J109" s="14" t="inlineStr">
        <is>
          <t>AAP</t>
        </is>
      </c>
      <c r="K109" s="12" t="n">
        <v>-13</v>
      </c>
      <c r="L109" s="15">
        <f>I109-F109</f>
        <v/>
      </c>
      <c r="M109" s="12" t="n">
        <v>136</v>
      </c>
      <c r="N109" s="12" t="n">
        <v>560</v>
      </c>
    </row>
    <row r="110" ht="20" customHeight="1">
      <c r="A110" s="2" t="n">
        <v>109</v>
      </c>
      <c r="B110" s="3" t="inlineStr">
        <is>
          <t>Harar Kalan</t>
        </is>
      </c>
      <c r="C110" s="3" t="inlineStr">
        <is>
          <t>ਹਰੜ ਕਲਾਂ</t>
        </is>
      </c>
      <c r="D110" s="11" t="inlineStr">
        <is>
          <t>Won Both Times (Stronghold)</t>
        </is>
      </c>
      <c r="E110" s="5" t="n">
        <v>366</v>
      </c>
      <c r="F110" s="6">
        <f>366/744</f>
        <v/>
      </c>
      <c r="G110" s="7" t="inlineStr">
        <is>
          <t>AAP</t>
        </is>
      </c>
      <c r="H110" s="5" t="n">
        <v>143</v>
      </c>
      <c r="I110" s="6">
        <f>143/613</f>
        <v/>
      </c>
      <c r="J110" s="7" t="inlineStr">
        <is>
          <t>AAP</t>
        </is>
      </c>
      <c r="K110" s="5" t="n">
        <v>-223</v>
      </c>
      <c r="L110" s="8">
        <f>I110-F110</f>
        <v/>
      </c>
      <c r="M110" s="5" t="n">
        <v>1</v>
      </c>
      <c r="N110" s="5" t="n">
        <v>613</v>
      </c>
    </row>
    <row r="111" ht="20" customHeight="1">
      <c r="A111" s="9" t="n">
        <v>110</v>
      </c>
      <c r="B111" s="10" t="inlineStr">
        <is>
          <t>Harar Near Bhure Gill</t>
        </is>
      </c>
      <c r="C111" s="10" t="inlineStr">
        <is>
          <t>ਹਰੜ ਨੇੜੇ ਭੂਰੇ ਗਿੱਲ</t>
        </is>
      </c>
      <c r="D111" s="4" t="inlineStr">
        <is>
          <t>Gained in 2024 (New Win)</t>
        </is>
      </c>
      <c r="E111" s="12" t="n">
        <v>40</v>
      </c>
      <c r="F111" s="13">
        <f>40/225</f>
        <v/>
      </c>
      <c r="G111" s="14" t="inlineStr">
        <is>
          <t>INC</t>
        </is>
      </c>
      <c r="H111" s="12" t="n">
        <v>187</v>
      </c>
      <c r="I111" s="13">
        <f>187/225</f>
        <v/>
      </c>
      <c r="J111" s="14" t="inlineStr">
        <is>
          <t>AAP</t>
        </is>
      </c>
      <c r="K111" s="12" t="n">
        <v>147</v>
      </c>
      <c r="L111" s="15">
        <f>I111-F111</f>
        <v/>
      </c>
      <c r="M111" s="12" t="n">
        <v>168</v>
      </c>
      <c r="N111" s="12" t="n">
        <v>225</v>
      </c>
    </row>
    <row r="112" ht="20" customHeight="1">
      <c r="A112" s="2" t="n">
        <v>111</v>
      </c>
      <c r="B112" s="3" t="inlineStr">
        <is>
          <t>Bhure Gill</t>
        </is>
      </c>
      <c r="C112" s="3" t="inlineStr">
        <is>
          <t>ਭੂਰੇ ਗਿੱਲ</t>
        </is>
      </c>
      <c r="D112" s="17" t="inlineStr">
        <is>
          <t>Lost Both Times (Deficit)</t>
        </is>
      </c>
      <c r="E112" s="5" t="n">
        <v>203</v>
      </c>
      <c r="F112" s="6">
        <f>203/779</f>
        <v/>
      </c>
      <c r="G112" s="7" t="inlineStr">
        <is>
          <t>INC</t>
        </is>
      </c>
      <c r="H112" s="5" t="n">
        <v>221</v>
      </c>
      <c r="I112" s="6">
        <f>221/683</f>
        <v/>
      </c>
      <c r="J112" s="7" t="inlineStr">
        <is>
          <t>INC</t>
        </is>
      </c>
      <c r="K112" s="5" t="n">
        <v>18</v>
      </c>
      <c r="L112" s="8">
        <f>I112-F112</f>
        <v/>
      </c>
      <c r="M112" s="5" t="n">
        <v>30</v>
      </c>
      <c r="N112" s="5" t="n">
        <v>683</v>
      </c>
    </row>
    <row r="113" ht="20" customHeight="1">
      <c r="A113" s="9" t="n">
        <v>112</v>
      </c>
      <c r="B113" s="10" t="inlineStr">
        <is>
          <t>Diyalpura</t>
        </is>
      </c>
      <c r="C113" s="10" t="inlineStr">
        <is>
          <t>ਦਿਆਲਪੁਰਾ</t>
        </is>
      </c>
      <c r="D113" s="11" t="inlineStr">
        <is>
          <t>Won Both Times (Stronghold)</t>
        </is>
      </c>
      <c r="E113" s="12" t="n">
        <v>378</v>
      </c>
      <c r="F113" s="13">
        <f>378/808</f>
        <v/>
      </c>
      <c r="G113" s="14" t="inlineStr">
        <is>
          <t>AAP</t>
        </is>
      </c>
      <c r="H113" s="12" t="n">
        <v>325</v>
      </c>
      <c r="I113" s="13">
        <f>325/748</f>
        <v/>
      </c>
      <c r="J113" s="14" t="inlineStr">
        <is>
          <t>AAP</t>
        </is>
      </c>
      <c r="K113" s="12" t="n">
        <v>-53</v>
      </c>
      <c r="L113" s="15">
        <f>I113-F113</f>
        <v/>
      </c>
      <c r="M113" s="12" t="n">
        <v>169</v>
      </c>
      <c r="N113" s="12" t="n">
        <v>748</v>
      </c>
    </row>
    <row r="114" ht="20" customHeight="1">
      <c r="A114" s="2" t="n">
        <v>113</v>
      </c>
      <c r="B114" s="3" t="inlineStr">
        <is>
          <t>Lango Mahal</t>
        </is>
      </c>
      <c r="C114" s="3" t="inlineStr">
        <is>
          <t>ਲੰਗੋ ਮਾਹਲ</t>
        </is>
      </c>
      <c r="D114" s="16" t="inlineStr">
        <is>
          <t>Lost in 2024 (to INC)</t>
        </is>
      </c>
      <c r="E114" s="5" t="n">
        <v>248</v>
      </c>
      <c r="F114" s="6">
        <f>248/474</f>
        <v/>
      </c>
      <c r="G114" s="7" t="inlineStr">
        <is>
          <t>AAP</t>
        </is>
      </c>
      <c r="H114" s="5" t="n">
        <v>143</v>
      </c>
      <c r="I114" s="6">
        <f>143/421</f>
        <v/>
      </c>
      <c r="J114" s="7" t="inlineStr">
        <is>
          <t>INC</t>
        </is>
      </c>
      <c r="K114" s="5" t="n">
        <v>-105</v>
      </c>
      <c r="L114" s="8">
        <f>I114-F114</f>
        <v/>
      </c>
      <c r="M114" s="5" t="n">
        <v>30</v>
      </c>
      <c r="N114" s="5" t="n">
        <v>421</v>
      </c>
    </row>
    <row r="115" ht="20" customHeight="1">
      <c r="A115" s="9" t="n">
        <v>114</v>
      </c>
      <c r="B115" s="10" t="inlineStr">
        <is>
          <t>Gagomahal</t>
        </is>
      </c>
      <c r="C115" s="10" t="inlineStr">
        <is>
          <t>ਗੱਗੋਮਾਹਲ</t>
        </is>
      </c>
      <c r="D115" s="11" t="inlineStr">
        <is>
          <t>Won Both Times (Stronghold)</t>
        </is>
      </c>
      <c r="E115" s="12" t="n">
        <v>299</v>
      </c>
      <c r="F115" s="13">
        <f>299/744</f>
        <v/>
      </c>
      <c r="G115" s="14" t="inlineStr">
        <is>
          <t>AAP</t>
        </is>
      </c>
      <c r="H115" s="12" t="n">
        <v>254</v>
      </c>
      <c r="I115" s="13">
        <f>254/609</f>
        <v/>
      </c>
      <c r="J115" s="14" t="inlineStr">
        <is>
          <t>AAP</t>
        </is>
      </c>
      <c r="K115" s="12" t="n">
        <v>-45</v>
      </c>
      <c r="L115" s="15">
        <f>I115-F115</f>
        <v/>
      </c>
      <c r="M115" s="12" t="n">
        <v>90</v>
      </c>
      <c r="N115" s="12" t="n">
        <v>609</v>
      </c>
    </row>
    <row r="116" ht="20" customHeight="1">
      <c r="A116" s="2" t="n">
        <v>115</v>
      </c>
      <c r="B116" s="3" t="inlineStr">
        <is>
          <t>Gagomahal</t>
        </is>
      </c>
      <c r="C116" s="3" t="inlineStr">
        <is>
          <t>ਗੱਗੋਮਾਹਲ</t>
        </is>
      </c>
      <c r="D116" s="17" t="inlineStr">
        <is>
          <t>Lost Both Times (Deficit)</t>
        </is>
      </c>
      <c r="E116" s="5" t="n">
        <v>162</v>
      </c>
      <c r="F116" s="6">
        <f>162/644</f>
        <v/>
      </c>
      <c r="G116" s="7" t="inlineStr">
        <is>
          <t>INC</t>
        </is>
      </c>
      <c r="H116" s="5" t="n">
        <v>134</v>
      </c>
      <c r="I116" s="6">
        <f>134/506</f>
        <v/>
      </c>
      <c r="J116" s="7" t="inlineStr">
        <is>
          <t>INC</t>
        </is>
      </c>
      <c r="K116" s="5" t="n">
        <v>-28</v>
      </c>
      <c r="L116" s="8">
        <f>I116-F116</f>
        <v/>
      </c>
      <c r="M116" s="5" t="n">
        <v>82</v>
      </c>
      <c r="N116" s="5" t="n">
        <v>506</v>
      </c>
    </row>
    <row r="117" ht="20" customHeight="1">
      <c r="A117" s="9" t="n">
        <v>116</v>
      </c>
      <c r="B117" s="10" t="inlineStr">
        <is>
          <t>Gagomahal</t>
        </is>
      </c>
      <c r="C117" s="10" t="inlineStr">
        <is>
          <t>ਗੱਗੋਮਾਹਲ</t>
        </is>
      </c>
      <c r="D117" s="11" t="inlineStr">
        <is>
          <t>Won Both Times (Stronghold)</t>
        </is>
      </c>
      <c r="E117" s="12" t="n">
        <v>320</v>
      </c>
      <c r="F117" s="13">
        <f>320/620</f>
        <v/>
      </c>
      <c r="G117" s="14" t="inlineStr">
        <is>
          <t>AAP</t>
        </is>
      </c>
      <c r="H117" s="12" t="n">
        <v>275</v>
      </c>
      <c r="I117" s="13">
        <f>275/515</f>
        <v/>
      </c>
      <c r="J117" s="14" t="inlineStr">
        <is>
          <t>AAP</t>
        </is>
      </c>
      <c r="K117" s="12" t="n">
        <v>-45</v>
      </c>
      <c r="L117" s="15">
        <f>I117-F117</f>
        <v/>
      </c>
      <c r="M117" s="12" t="n">
        <v>145</v>
      </c>
      <c r="N117" s="12" t="n">
        <v>515</v>
      </c>
    </row>
    <row r="118" ht="20" customHeight="1">
      <c r="A118" s="2" t="n">
        <v>117</v>
      </c>
      <c r="B118" s="3" t="inlineStr">
        <is>
          <t>Abusaid</t>
        </is>
      </c>
      <c r="C118" s="3" t="inlineStr">
        <is>
          <t>ਅਬੂਸਈਦ</t>
        </is>
      </c>
      <c r="D118" s="16" t="inlineStr">
        <is>
          <t>Lost in 2024 (to INC)</t>
        </is>
      </c>
      <c r="E118" s="5" t="n">
        <v>246</v>
      </c>
      <c r="F118" s="6">
        <f>246/648</f>
        <v/>
      </c>
      <c r="G118" s="7" t="inlineStr">
        <is>
          <t>AAP</t>
        </is>
      </c>
      <c r="H118" s="5" t="n">
        <v>175</v>
      </c>
      <c r="I118" s="6">
        <f>175/609</f>
        <v/>
      </c>
      <c r="J118" s="7" t="inlineStr">
        <is>
          <t>INC</t>
        </is>
      </c>
      <c r="K118" s="5" t="n">
        <v>-71</v>
      </c>
      <c r="L118" s="8">
        <f>I118-F118</f>
        <v/>
      </c>
      <c r="M118" s="5" t="n">
        <v>91</v>
      </c>
      <c r="N118" s="5" t="n">
        <v>609</v>
      </c>
    </row>
    <row r="119" ht="20" customHeight="1">
      <c r="A119" s="9" t="n">
        <v>118</v>
      </c>
      <c r="B119" s="10" t="inlineStr">
        <is>
          <t>Nanoke</t>
        </is>
      </c>
      <c r="C119" s="10" t="inlineStr">
        <is>
          <t>ਨਾਨੋਕੇ</t>
        </is>
      </c>
      <c r="D119" s="11" t="inlineStr">
        <is>
          <t>Won Both Times (Stronghold)</t>
        </is>
      </c>
      <c r="E119" s="12" t="n">
        <v>300</v>
      </c>
      <c r="F119" s="13">
        <f>300/703</f>
        <v/>
      </c>
      <c r="G119" s="14" t="inlineStr">
        <is>
          <t>AAP</t>
        </is>
      </c>
      <c r="H119" s="12" t="n">
        <v>197</v>
      </c>
      <c r="I119" s="13">
        <f>197/626</f>
        <v/>
      </c>
      <c r="J119" s="14" t="inlineStr">
        <is>
          <t>AAP</t>
        </is>
      </c>
      <c r="K119" s="12" t="n">
        <v>-103</v>
      </c>
      <c r="L119" s="15">
        <f>I119-F119</f>
        <v/>
      </c>
      <c r="M119" s="12" t="n">
        <v>66</v>
      </c>
      <c r="N119" s="12" t="n">
        <v>626</v>
      </c>
    </row>
    <row r="120" ht="20" customHeight="1">
      <c r="A120" s="2" t="n">
        <v>119</v>
      </c>
      <c r="B120" s="3" t="inlineStr">
        <is>
          <t>Kuralian</t>
        </is>
      </c>
      <c r="C120" s="3" t="inlineStr">
        <is>
          <t>ਕੁਰਾਲੀਆਂ</t>
        </is>
      </c>
      <c r="D120" s="11" t="inlineStr">
        <is>
          <t>Won Both Times (Stronghold)</t>
        </is>
      </c>
      <c r="E120" s="5" t="n">
        <v>314</v>
      </c>
      <c r="F120" s="6">
        <f>314/801</f>
        <v/>
      </c>
      <c r="G120" s="7" t="inlineStr">
        <is>
          <t>AAP</t>
        </is>
      </c>
      <c r="H120" s="5" t="n">
        <v>256</v>
      </c>
      <c r="I120" s="6">
        <f>256/727</f>
        <v/>
      </c>
      <c r="J120" s="7" t="inlineStr">
        <is>
          <t>AAP</t>
        </is>
      </c>
      <c r="K120" s="5" t="n">
        <v>-58</v>
      </c>
      <c r="L120" s="8">
        <f>I120-F120</f>
        <v/>
      </c>
      <c r="M120" s="5" t="n">
        <v>72</v>
      </c>
      <c r="N120" s="5" t="n">
        <v>727</v>
      </c>
    </row>
    <row r="121" ht="20" customHeight="1">
      <c r="A121" s="9" t="n">
        <v>120</v>
      </c>
      <c r="B121" s="10" t="inlineStr">
        <is>
          <t>Jasharh</t>
        </is>
      </c>
      <c r="C121" s="10" t="inlineStr">
        <is>
          <t>ਜਸੜ੍ਹ</t>
        </is>
      </c>
      <c r="D121" s="4" t="inlineStr">
        <is>
          <t>Gained in 2024 (New Win)</t>
        </is>
      </c>
      <c r="E121" s="12" t="n">
        <v>153</v>
      </c>
      <c r="F121" s="13">
        <f>153/664</f>
        <v/>
      </c>
      <c r="G121" s="14" t="inlineStr">
        <is>
          <t>INC</t>
        </is>
      </c>
      <c r="H121" s="12" t="n">
        <v>223</v>
      </c>
      <c r="I121" s="13">
        <f>223/605</f>
        <v/>
      </c>
      <c r="J121" s="14" t="inlineStr">
        <is>
          <t>AAP</t>
        </is>
      </c>
      <c r="K121" s="12" t="n">
        <v>70</v>
      </c>
      <c r="L121" s="15">
        <f>I121-F121</f>
        <v/>
      </c>
      <c r="M121" s="12" t="n">
        <v>23</v>
      </c>
      <c r="N121" s="12" t="n">
        <v>605</v>
      </c>
    </row>
    <row r="122" ht="20" customHeight="1">
      <c r="A122" s="2" t="n">
        <v>121</v>
      </c>
      <c r="B122" s="3" t="inlineStr">
        <is>
          <t>Makowal</t>
        </is>
      </c>
      <c r="C122" s="3" t="inlineStr">
        <is>
          <t>ਮਕੋਵਾਲ</t>
        </is>
      </c>
      <c r="D122" s="17" t="inlineStr">
        <is>
          <t>Lost Both Times (Deficit)</t>
        </is>
      </c>
      <c r="E122" s="5" t="n">
        <v>241</v>
      </c>
      <c r="F122" s="6">
        <f>241/814</f>
        <v/>
      </c>
      <c r="G122" s="7" t="inlineStr">
        <is>
          <t>INC</t>
        </is>
      </c>
      <c r="H122" s="5" t="n">
        <v>187</v>
      </c>
      <c r="I122" s="6">
        <f>187/734</f>
        <v/>
      </c>
      <c r="J122" s="7" t="inlineStr">
        <is>
          <t>INC</t>
        </is>
      </c>
      <c r="K122" s="5" t="n">
        <v>-54</v>
      </c>
      <c r="L122" s="8">
        <f>I122-F122</f>
        <v/>
      </c>
      <c r="M122" s="5" t="n">
        <v>137</v>
      </c>
      <c r="N122" s="5" t="n">
        <v>734</v>
      </c>
    </row>
    <row r="123" ht="20" customHeight="1">
      <c r="A123" s="9" t="n">
        <v>122</v>
      </c>
      <c r="B123" s="10" t="inlineStr">
        <is>
          <t>Sudhar</t>
        </is>
      </c>
      <c r="C123" s="10" t="inlineStr">
        <is>
          <t>ਸੁਧਾਰ</t>
        </is>
      </c>
      <c r="D123" s="11" t="inlineStr">
        <is>
          <t>Won Both Times (Stronghold)</t>
        </is>
      </c>
      <c r="E123" s="12" t="n">
        <v>360</v>
      </c>
      <c r="F123" s="13">
        <f>360/765</f>
        <v/>
      </c>
      <c r="G123" s="14" t="inlineStr">
        <is>
          <t>AAP</t>
        </is>
      </c>
      <c r="H123" s="12" t="n">
        <v>238</v>
      </c>
      <c r="I123" s="13">
        <f>238/761</f>
        <v/>
      </c>
      <c r="J123" s="14" t="inlineStr">
        <is>
          <t>AAP</t>
        </is>
      </c>
      <c r="K123" s="12" t="n">
        <v>-122</v>
      </c>
      <c r="L123" s="15">
        <f>I123-F123</f>
        <v/>
      </c>
      <c r="M123" s="12" t="n">
        <v>3</v>
      </c>
      <c r="N123" s="12" t="n">
        <v>761</v>
      </c>
    </row>
    <row r="124" ht="20" customHeight="1">
      <c r="A124" s="2" t="n">
        <v>123</v>
      </c>
      <c r="B124" s="3" t="inlineStr">
        <is>
          <t>Urdhan</t>
        </is>
      </c>
      <c r="C124" s="3" t="inlineStr">
        <is>
          <t>ਉਰਧਨ</t>
        </is>
      </c>
      <c r="D124" s="16" t="inlineStr">
        <is>
          <t>Lost in 2024 (to INC)</t>
        </is>
      </c>
      <c r="E124" s="5" t="n">
        <v>219</v>
      </c>
      <c r="F124" s="6">
        <f>219/526</f>
        <v/>
      </c>
      <c r="G124" s="7" t="inlineStr">
        <is>
          <t>AAP</t>
        </is>
      </c>
      <c r="H124" s="5" t="n">
        <v>124</v>
      </c>
      <c r="I124" s="6">
        <f>124/481</f>
        <v/>
      </c>
      <c r="J124" s="7" t="inlineStr">
        <is>
          <t>INC</t>
        </is>
      </c>
      <c r="K124" s="5" t="n">
        <v>-95</v>
      </c>
      <c r="L124" s="8">
        <f>I124-F124</f>
        <v/>
      </c>
      <c r="M124" s="5" t="n">
        <v>69</v>
      </c>
      <c r="N124" s="5" t="n">
        <v>481</v>
      </c>
    </row>
    <row r="125" ht="20" customHeight="1">
      <c r="A125" s="9" t="n">
        <v>124</v>
      </c>
      <c r="B125" s="10" t="inlineStr">
        <is>
          <t>Khanowal</t>
        </is>
      </c>
      <c r="C125" s="10" t="inlineStr">
        <is>
          <t>ਖਾਨੋਵਾਲ</t>
        </is>
      </c>
      <c r="D125" s="16" t="inlineStr">
        <is>
          <t>Lost in 2024 (to INC)</t>
        </is>
      </c>
      <c r="E125" s="12" t="n">
        <v>403</v>
      </c>
      <c r="F125" s="13">
        <f>403/890</f>
        <v/>
      </c>
      <c r="G125" s="14" t="inlineStr">
        <is>
          <t>AAP</t>
        </is>
      </c>
      <c r="H125" s="12" t="n">
        <v>225</v>
      </c>
      <c r="I125" s="13">
        <f>225/733</f>
        <v/>
      </c>
      <c r="J125" s="14" t="inlineStr">
        <is>
          <t>INC</t>
        </is>
      </c>
      <c r="K125" s="12" t="n">
        <v>-178</v>
      </c>
      <c r="L125" s="15">
        <f>I125-F125</f>
        <v/>
      </c>
      <c r="M125" s="12" t="n">
        <v>21</v>
      </c>
      <c r="N125" s="12" t="n">
        <v>733</v>
      </c>
    </row>
    <row r="126" ht="20" customHeight="1">
      <c r="A126" s="2" t="n">
        <v>125</v>
      </c>
      <c r="B126" s="3" t="inlineStr">
        <is>
          <t>Diyal Bhrang</t>
        </is>
      </c>
      <c r="C126" s="3" t="inlineStr">
        <is>
          <t>ਦਿਆਲ ਭੜੰਗ</t>
        </is>
      </c>
      <c r="D126" s="11" t="inlineStr">
        <is>
          <t>Won Both Times (Stronghold)</t>
        </is>
      </c>
      <c r="E126" s="5" t="n">
        <v>231</v>
      </c>
      <c r="F126" s="6">
        <f>231/630</f>
        <v/>
      </c>
      <c r="G126" s="7" t="inlineStr">
        <is>
          <t>AAP</t>
        </is>
      </c>
      <c r="H126" s="5" t="n">
        <v>204</v>
      </c>
      <c r="I126" s="6">
        <f>204/529</f>
        <v/>
      </c>
      <c r="J126" s="7" t="inlineStr">
        <is>
          <t>AAP</t>
        </is>
      </c>
      <c r="K126" s="5" t="n">
        <v>-27</v>
      </c>
      <c r="L126" s="8">
        <f>I126-F126</f>
        <v/>
      </c>
      <c r="M126" s="5" t="n">
        <v>51</v>
      </c>
      <c r="N126" s="5" t="n">
        <v>529</v>
      </c>
    </row>
    <row r="127" ht="20" customHeight="1">
      <c r="A127" s="9" t="n">
        <v>126</v>
      </c>
      <c r="B127" s="10" t="inlineStr">
        <is>
          <t>Gore Nangal</t>
        </is>
      </c>
      <c r="C127" s="10" t="inlineStr">
        <is>
          <t>ਗੋਰੇ ਨੰਗਲ</t>
        </is>
      </c>
      <c r="D127" s="16" t="inlineStr">
        <is>
          <t>Lost in 2024 (to INC)</t>
        </is>
      </c>
      <c r="E127" s="12" t="n">
        <v>202</v>
      </c>
      <c r="F127" s="13">
        <f>202/534</f>
        <v/>
      </c>
      <c r="G127" s="14" t="inlineStr">
        <is>
          <t>AAP</t>
        </is>
      </c>
      <c r="H127" s="12" t="n">
        <v>144</v>
      </c>
      <c r="I127" s="13">
        <f>144/520</f>
        <v/>
      </c>
      <c r="J127" s="14" t="inlineStr">
        <is>
          <t>INC</t>
        </is>
      </c>
      <c r="K127" s="12" t="n">
        <v>-58</v>
      </c>
      <c r="L127" s="15">
        <f>I127-F127</f>
        <v/>
      </c>
      <c r="M127" s="12" t="n">
        <v>26</v>
      </c>
      <c r="N127" s="12" t="n">
        <v>520</v>
      </c>
    </row>
    <row r="128" ht="20" customHeight="1">
      <c r="A128" s="2" t="n">
        <v>127</v>
      </c>
      <c r="B128" s="3" t="inlineStr">
        <is>
          <t>Matte Nangal</t>
        </is>
      </c>
      <c r="C128" s="3" t="inlineStr">
        <is>
          <t>ਮੱਤੇ ਨੰਗਲ</t>
        </is>
      </c>
      <c r="D128" s="17" t="inlineStr">
        <is>
          <t>Lost Both Times (Deficit)</t>
        </is>
      </c>
      <c r="E128" s="5" t="n">
        <v>233</v>
      </c>
      <c r="F128" s="6">
        <f>233/908</f>
        <v/>
      </c>
      <c r="G128" s="7" t="inlineStr">
        <is>
          <t>INC</t>
        </is>
      </c>
      <c r="H128" s="5" t="n">
        <v>256</v>
      </c>
      <c r="I128" s="6">
        <f>256/796</f>
        <v/>
      </c>
      <c r="J128" s="7" t="inlineStr">
        <is>
          <t>INC</t>
        </is>
      </c>
      <c r="K128" s="5" t="n">
        <v>23</v>
      </c>
      <c r="L128" s="8">
        <f>I128-F128</f>
        <v/>
      </c>
      <c r="M128" s="5" t="n">
        <v>64</v>
      </c>
      <c r="N128" s="5" t="n">
        <v>796</v>
      </c>
    </row>
    <row r="129" ht="20" customHeight="1">
      <c r="A129" s="9" t="n">
        <v>128</v>
      </c>
      <c r="B129" s="10" t="inlineStr">
        <is>
          <t>Talwandi Bhagwan</t>
        </is>
      </c>
      <c r="C129" s="10" t="inlineStr">
        <is>
          <t>ਤਲਵੰਡੀ ਭਗਵਾਨ</t>
        </is>
      </c>
      <c r="D129" s="17" t="inlineStr">
        <is>
          <t>Lost Both Times (Deficit)</t>
        </is>
      </c>
      <c r="E129" s="12" t="n">
        <v>231</v>
      </c>
      <c r="F129" s="13">
        <f>231/805</f>
        <v/>
      </c>
      <c r="G129" s="14" t="inlineStr">
        <is>
          <t>SAD</t>
        </is>
      </c>
      <c r="H129" s="12" t="n">
        <v>214</v>
      </c>
      <c r="I129" s="13">
        <f>214/742</f>
        <v/>
      </c>
      <c r="J129" s="14" t="inlineStr">
        <is>
          <t>INC</t>
        </is>
      </c>
      <c r="K129" s="12" t="n">
        <v>-17</v>
      </c>
      <c r="L129" s="15">
        <f>I129-F129</f>
        <v/>
      </c>
      <c r="M129" s="12" t="n">
        <v>94</v>
      </c>
      <c r="N129" s="12" t="n">
        <v>742</v>
      </c>
    </row>
    <row r="130" ht="20" customHeight="1">
      <c r="A130" s="2" t="n">
        <v>129</v>
      </c>
      <c r="B130" s="3" t="inlineStr">
        <is>
          <t>Madhu Chhanga</t>
        </is>
      </c>
      <c r="C130" s="3" t="inlineStr">
        <is>
          <t>ਮਾਧੋ ਛਾਂਗਾ</t>
        </is>
      </c>
      <c r="D130" s="17" t="inlineStr">
        <is>
          <t>Lost Both Times (Deficit)</t>
        </is>
      </c>
      <c r="E130" s="5" t="n">
        <v>125</v>
      </c>
      <c r="F130" s="6">
        <f>125/783</f>
        <v/>
      </c>
      <c r="G130" s="7" t="inlineStr">
        <is>
          <t>INC</t>
        </is>
      </c>
      <c r="H130" s="5" t="n">
        <v>246</v>
      </c>
      <c r="I130" s="6">
        <f>246/714</f>
        <v/>
      </c>
      <c r="J130" s="7" t="inlineStr">
        <is>
          <t>INC</t>
        </is>
      </c>
      <c r="K130" s="5" t="n">
        <v>121</v>
      </c>
      <c r="L130" s="8">
        <f>I130-F130</f>
        <v/>
      </c>
      <c r="M130" s="5" t="n">
        <v>11</v>
      </c>
      <c r="N130" s="5" t="n">
        <v>714</v>
      </c>
    </row>
    <row r="131" ht="20" customHeight="1">
      <c r="A131" s="9" t="n">
        <v>130</v>
      </c>
      <c r="B131" s="10" t="inlineStr">
        <is>
          <t>Boharh Wala</t>
        </is>
      </c>
      <c r="C131" s="10" t="inlineStr">
        <is>
          <t>ਬੋਹੜ ਵਾਲਾ</t>
        </is>
      </c>
      <c r="D131" s="4" t="inlineStr">
        <is>
          <t>Gained in 2024 (New Win)</t>
        </is>
      </c>
      <c r="E131" s="12" t="n">
        <v>110</v>
      </c>
      <c r="F131" s="13">
        <f>110/630</f>
        <v/>
      </c>
      <c r="G131" s="14" t="inlineStr">
        <is>
          <t>SAD</t>
        </is>
      </c>
      <c r="H131" s="12" t="n">
        <v>392</v>
      </c>
      <c r="I131" s="13">
        <f>392/659</f>
        <v/>
      </c>
      <c r="J131" s="14" t="inlineStr">
        <is>
          <t>AAP</t>
        </is>
      </c>
      <c r="K131" s="12" t="n">
        <v>282</v>
      </c>
      <c r="L131" s="15">
        <f>I131-F131</f>
        <v/>
      </c>
      <c r="M131" s="12" t="n">
        <v>184</v>
      </c>
      <c r="N131" s="12" t="n">
        <v>659</v>
      </c>
    </row>
    <row r="132" ht="20" customHeight="1">
      <c r="A132" s="2" t="n">
        <v>131</v>
      </c>
      <c r="B132" s="3" t="inlineStr">
        <is>
          <t>Talwandi Nahar</t>
        </is>
      </c>
      <c r="C132" s="3" t="inlineStr">
        <is>
          <t>ਤਲਵੰਡੀ ਨਾਹਰ</t>
        </is>
      </c>
      <c r="D132" s="16" t="inlineStr">
        <is>
          <t>Lost in 2024 (to INC)</t>
        </is>
      </c>
      <c r="E132" s="5" t="n">
        <v>346</v>
      </c>
      <c r="F132" s="6">
        <f>346/809</f>
        <v/>
      </c>
      <c r="G132" s="7" t="inlineStr">
        <is>
          <t>AAP</t>
        </is>
      </c>
      <c r="H132" s="5" t="n">
        <v>223</v>
      </c>
      <c r="I132" s="6">
        <f>223/866</f>
        <v/>
      </c>
      <c r="J132" s="7" t="inlineStr">
        <is>
          <t>INC</t>
        </is>
      </c>
      <c r="K132" s="5" t="n">
        <v>-123</v>
      </c>
      <c r="L132" s="8">
        <f>I132-F132</f>
        <v/>
      </c>
      <c r="M132" s="5" t="n">
        <v>251</v>
      </c>
      <c r="N132" s="5" t="n">
        <v>866</v>
      </c>
    </row>
    <row r="133" ht="20" customHeight="1">
      <c r="A133" s="9" t="n">
        <v>132</v>
      </c>
      <c r="B133" s="10" t="inlineStr">
        <is>
          <t>Balbawa</t>
        </is>
      </c>
      <c r="C133" s="10" t="inlineStr">
        <is>
          <t>ਬਲਬਾਵਾ</t>
        </is>
      </c>
      <c r="D133" s="11" t="inlineStr">
        <is>
          <t>Won Both Times (Stronghold)</t>
        </is>
      </c>
      <c r="E133" s="12" t="n">
        <v>361</v>
      </c>
      <c r="F133" s="13">
        <f>361/755</f>
        <v/>
      </c>
      <c r="G133" s="14" t="inlineStr">
        <is>
          <t>AAP</t>
        </is>
      </c>
      <c r="H133" s="12" t="n">
        <v>293</v>
      </c>
      <c r="I133" s="13">
        <f>293/722</f>
        <v/>
      </c>
      <c r="J133" s="14" t="inlineStr">
        <is>
          <t>AAP</t>
        </is>
      </c>
      <c r="K133" s="12" t="n">
        <v>-68</v>
      </c>
      <c r="L133" s="15">
        <f>I133-F133</f>
        <v/>
      </c>
      <c r="M133" s="12" t="n">
        <v>67</v>
      </c>
      <c r="N133" s="12" t="n">
        <v>722</v>
      </c>
    </row>
    <row r="134" ht="20" customHeight="1">
      <c r="A134" s="2" t="n">
        <v>133</v>
      </c>
      <c r="B134" s="3" t="inlineStr">
        <is>
          <t>Nizam Pura</t>
        </is>
      </c>
      <c r="C134" s="3" t="inlineStr">
        <is>
          <t>ਨਿਜ਼ਾਮ ਪੁਰਾ</t>
        </is>
      </c>
      <c r="D134" s="4" t="inlineStr">
        <is>
          <t>Gained in 2024 (New Win)</t>
        </is>
      </c>
      <c r="E134" s="5" t="n">
        <v>28</v>
      </c>
      <c r="F134" s="6">
        <f>28/280</f>
        <v/>
      </c>
      <c r="G134" s="7" t="inlineStr">
        <is>
          <t>INC</t>
        </is>
      </c>
      <c r="H134" s="5" t="n">
        <v>126</v>
      </c>
      <c r="I134" s="6">
        <f>126/282</f>
        <v/>
      </c>
      <c r="J134" s="7" t="inlineStr">
        <is>
          <t>AAP</t>
        </is>
      </c>
      <c r="K134" s="5" t="n">
        <v>98</v>
      </c>
      <c r="L134" s="8">
        <f>I134-F134</f>
        <v/>
      </c>
      <c r="M134" s="5" t="n">
        <v>35</v>
      </c>
      <c r="N134" s="5" t="n">
        <v>282</v>
      </c>
    </row>
    <row r="135" ht="20" customHeight="1">
      <c r="A135" s="9" t="n">
        <v>134</v>
      </c>
      <c r="B135" s="10" t="inlineStr">
        <is>
          <t>Nawan Pind</t>
        </is>
      </c>
      <c r="C135" s="10" t="inlineStr">
        <is>
          <t>ਨਵਾਂ ਪਿੰਡ</t>
        </is>
      </c>
      <c r="D135" s="4" t="inlineStr">
        <is>
          <t>Gained in 2024 (New Win)</t>
        </is>
      </c>
      <c r="E135" s="12" t="n">
        <v>149</v>
      </c>
      <c r="F135" s="13">
        <f>149/607</f>
        <v/>
      </c>
      <c r="G135" s="14" t="inlineStr">
        <is>
          <t>SAD</t>
        </is>
      </c>
      <c r="H135" s="12" t="n">
        <v>367</v>
      </c>
      <c r="I135" s="13">
        <f>367/567</f>
        <v/>
      </c>
      <c r="J135" s="14" t="inlineStr">
        <is>
          <t>AAP</t>
        </is>
      </c>
      <c r="K135" s="12" t="n">
        <v>218</v>
      </c>
      <c r="L135" s="15">
        <f>I135-F135</f>
        <v/>
      </c>
      <c r="M135" s="12" t="n">
        <v>251</v>
      </c>
      <c r="N135" s="12" t="n">
        <v>567</v>
      </c>
    </row>
    <row r="136" ht="20" customHeight="1">
      <c r="A136" s="2" t="n">
        <v>135</v>
      </c>
      <c r="B136" s="3" t="inlineStr">
        <is>
          <t>Nawan Pind</t>
        </is>
      </c>
      <c r="C136" s="3" t="inlineStr">
        <is>
          <t>ਨਵਾਂ ਪਿੰਡ</t>
        </is>
      </c>
      <c r="D136" s="11" t="inlineStr">
        <is>
          <t>Won Both Times (Stronghold)</t>
        </is>
      </c>
      <c r="E136" s="5" t="n">
        <v>138</v>
      </c>
      <c r="F136" s="6">
        <f>138/327</f>
        <v/>
      </c>
      <c r="G136" s="7" t="inlineStr">
        <is>
          <t>AAP</t>
        </is>
      </c>
      <c r="H136" s="5" t="n">
        <v>134</v>
      </c>
      <c r="I136" s="6">
        <f>134/256</f>
        <v/>
      </c>
      <c r="J136" s="7" t="inlineStr">
        <is>
          <t>AAP</t>
        </is>
      </c>
      <c r="K136" s="5" t="n">
        <v>-4</v>
      </c>
      <c r="L136" s="8">
        <f>I136-F136</f>
        <v/>
      </c>
      <c r="M136" s="5" t="n">
        <v>78</v>
      </c>
      <c r="N136" s="5" t="n">
        <v>256</v>
      </c>
    </row>
    <row r="137" ht="20" customHeight="1">
      <c r="A137" s="9" t="n">
        <v>136</v>
      </c>
      <c r="B137" s="10" t="inlineStr">
        <is>
          <t>Hardo Putli</t>
        </is>
      </c>
      <c r="C137" s="10" t="inlineStr">
        <is>
          <t>ਹਰਦੋ ਪੁਤਲੀ</t>
        </is>
      </c>
      <c r="D137" s="11" t="inlineStr">
        <is>
          <t>Won Both Times (Stronghold)</t>
        </is>
      </c>
      <c r="E137" s="12" t="n">
        <v>260</v>
      </c>
      <c r="F137" s="13">
        <f>260/641</f>
        <v/>
      </c>
      <c r="G137" s="14" t="inlineStr">
        <is>
          <t>AAP</t>
        </is>
      </c>
      <c r="H137" s="12" t="n">
        <v>230</v>
      </c>
      <c r="I137" s="13">
        <f>230/631</f>
        <v/>
      </c>
      <c r="J137" s="14" t="inlineStr">
        <is>
          <t>AAP</t>
        </is>
      </c>
      <c r="K137" s="12" t="n">
        <v>-30</v>
      </c>
      <c r="L137" s="15">
        <f>I137-F137</f>
        <v/>
      </c>
      <c r="M137" s="12" t="n">
        <v>90</v>
      </c>
      <c r="N137" s="12" t="n">
        <v>631</v>
      </c>
    </row>
    <row r="138" ht="20" customHeight="1">
      <c r="A138" s="2" t="n">
        <v>137</v>
      </c>
      <c r="B138" s="3" t="inlineStr">
        <is>
          <t>Kotla Sadar</t>
        </is>
      </c>
      <c r="C138" s="3" t="inlineStr">
        <is>
          <t>ਕੋਟਲਾ ਸਦਰ</t>
        </is>
      </c>
      <c r="D138" s="4" t="inlineStr">
        <is>
          <t>Gained in 2024 (New Win)</t>
        </is>
      </c>
      <c r="E138" s="5" t="n">
        <v>99</v>
      </c>
      <c r="F138" s="6">
        <f>99/357</f>
        <v/>
      </c>
      <c r="G138" s="7" t="inlineStr">
        <is>
          <t>SAD</t>
        </is>
      </c>
      <c r="H138" s="5" t="n">
        <v>182</v>
      </c>
      <c r="I138" s="6">
        <f>182/328</f>
        <v/>
      </c>
      <c r="J138" s="7" t="inlineStr">
        <is>
          <t>AAP</t>
        </is>
      </c>
      <c r="K138" s="5" t="n">
        <v>83</v>
      </c>
      <c r="L138" s="8">
        <f>I138-F138</f>
        <v/>
      </c>
      <c r="M138" s="5" t="n">
        <v>109</v>
      </c>
      <c r="N138" s="5" t="n">
        <v>328</v>
      </c>
    </row>
    <row r="139" ht="20" customHeight="1">
      <c r="A139" s="9" t="n">
        <v>138</v>
      </c>
      <c r="B139" s="10" t="inlineStr">
        <is>
          <t>Chakk Sikander</t>
        </is>
      </c>
      <c r="C139" s="10" t="inlineStr">
        <is>
          <t>ਚੱਕ ਸਿਕੰਦਰ</t>
        </is>
      </c>
      <c r="D139" s="11" t="inlineStr">
        <is>
          <t>Won Both Times (Stronghold)</t>
        </is>
      </c>
      <c r="E139" s="12" t="n">
        <v>375</v>
      </c>
      <c r="F139" s="13">
        <f>375/810</f>
        <v/>
      </c>
      <c r="G139" s="14" t="inlineStr">
        <is>
          <t>AAP</t>
        </is>
      </c>
      <c r="H139" s="12" t="n">
        <v>268</v>
      </c>
      <c r="I139" s="13">
        <f>268/715</f>
        <v/>
      </c>
      <c r="J139" s="14" t="inlineStr">
        <is>
          <t>AAP</t>
        </is>
      </c>
      <c r="K139" s="12" t="n">
        <v>-107</v>
      </c>
      <c r="L139" s="15">
        <f>I139-F139</f>
        <v/>
      </c>
      <c r="M139" s="12" t="n">
        <v>10</v>
      </c>
      <c r="N139" s="12" t="n">
        <v>715</v>
      </c>
    </row>
    <row r="140" ht="20" customHeight="1">
      <c r="A140" s="2" t="n">
        <v>139</v>
      </c>
      <c r="B140" s="3" t="inlineStr">
        <is>
          <t>Mohan Bhandari</t>
        </is>
      </c>
      <c r="C140" s="3" t="inlineStr">
        <is>
          <t>ਮੋਹਨ ਭੰਡਾਰੀ</t>
        </is>
      </c>
      <c r="D140" s="11" t="inlineStr">
        <is>
          <t>Won Both Times (Stronghold)</t>
        </is>
      </c>
      <c r="E140" s="5" t="n">
        <v>276</v>
      </c>
      <c r="F140" s="6">
        <f>276/584</f>
        <v/>
      </c>
      <c r="G140" s="7" t="inlineStr">
        <is>
          <t>AAP</t>
        </is>
      </c>
      <c r="H140" s="5" t="n">
        <v>236</v>
      </c>
      <c r="I140" s="6">
        <f>236/471</f>
        <v/>
      </c>
      <c r="J140" s="7" t="inlineStr">
        <is>
          <t>AAP</t>
        </is>
      </c>
      <c r="K140" s="5" t="n">
        <v>-40</v>
      </c>
      <c r="L140" s="8">
        <f>I140-F140</f>
        <v/>
      </c>
      <c r="M140" s="5" t="n">
        <v>131</v>
      </c>
      <c r="N140" s="5" t="n">
        <v>471</v>
      </c>
    </row>
    <row r="141" ht="20" customHeight="1">
      <c r="A141" s="9" t="n">
        <v>140</v>
      </c>
      <c r="B141" s="10" t="inlineStr">
        <is>
          <t>Mohan Bhandari</t>
        </is>
      </c>
      <c r="C141" s="10" t="inlineStr">
        <is>
          <t>ਮੋਹਨ ਭੰਡਾਰੀ</t>
        </is>
      </c>
      <c r="D141" s="11" t="inlineStr">
        <is>
          <t>Won Both Times (Stronghold)</t>
        </is>
      </c>
      <c r="E141" s="12" t="n">
        <v>227</v>
      </c>
      <c r="F141" s="13">
        <f>227/612</f>
        <v/>
      </c>
      <c r="G141" s="14" t="inlineStr">
        <is>
          <t>AAP</t>
        </is>
      </c>
      <c r="H141" s="12" t="n">
        <v>244</v>
      </c>
      <c r="I141" s="13">
        <f>244/513</f>
        <v/>
      </c>
      <c r="J141" s="14" t="inlineStr">
        <is>
          <t>AAP</t>
        </is>
      </c>
      <c r="K141" s="12" t="n">
        <v>17</v>
      </c>
      <c r="L141" s="15">
        <f>I141-F141</f>
        <v/>
      </c>
      <c r="M141" s="12" t="n">
        <v>125</v>
      </c>
      <c r="N141" s="12" t="n">
        <v>513</v>
      </c>
    </row>
    <row r="142" ht="20" customHeight="1">
      <c r="A142" s="2" t="n">
        <v>141</v>
      </c>
      <c r="B142" s="3" t="inlineStr">
        <is>
          <t>Vachoaa</t>
        </is>
      </c>
      <c r="C142" s="3" t="inlineStr">
        <is>
          <t>ਵਾਚੋਆ</t>
        </is>
      </c>
      <c r="D142" s="17" t="inlineStr">
        <is>
          <t>Lost Both Times (Deficit)</t>
        </is>
      </c>
      <c r="E142" s="5" t="n">
        <v>170</v>
      </c>
      <c r="F142" s="6">
        <f>170/699</f>
        <v/>
      </c>
      <c r="G142" s="7" t="inlineStr">
        <is>
          <t>INC</t>
        </is>
      </c>
      <c r="H142" s="5" t="n">
        <v>197</v>
      </c>
      <c r="I142" s="6">
        <f>197/625</f>
        <v/>
      </c>
      <c r="J142" s="7" t="inlineStr">
        <is>
          <t>INC</t>
        </is>
      </c>
      <c r="K142" s="5" t="n">
        <v>27</v>
      </c>
      <c r="L142" s="8">
        <f>I142-F142</f>
        <v/>
      </c>
      <c r="M142" s="5" t="n">
        <v>20</v>
      </c>
      <c r="N142" s="5" t="n">
        <v>625</v>
      </c>
    </row>
    <row r="143" ht="20" customHeight="1">
      <c r="A143" s="9" t="n">
        <v>142</v>
      </c>
      <c r="B143" s="10" t="inlineStr">
        <is>
          <t>Vachoaa</t>
        </is>
      </c>
      <c r="C143" s="10" t="inlineStr">
        <is>
          <t>ਵਾਚੋਆ</t>
        </is>
      </c>
      <c r="D143" s="4" t="inlineStr">
        <is>
          <t>Gained in 2024 (New Win)</t>
        </is>
      </c>
      <c r="E143" s="12" t="n">
        <v>195</v>
      </c>
      <c r="F143" s="13">
        <f>195/639</f>
        <v/>
      </c>
      <c r="G143" s="14" t="inlineStr">
        <is>
          <t>SAD</t>
        </is>
      </c>
      <c r="H143" s="12" t="n">
        <v>199</v>
      </c>
      <c r="I143" s="13">
        <f>199/579</f>
        <v/>
      </c>
      <c r="J143" s="14" t="inlineStr">
        <is>
          <t>AAP</t>
        </is>
      </c>
      <c r="K143" s="12" t="n">
        <v>4</v>
      </c>
      <c r="L143" s="15">
        <f>I143-F143</f>
        <v/>
      </c>
      <c r="M143" s="12" t="n">
        <v>33</v>
      </c>
      <c r="N143" s="12" t="n">
        <v>579</v>
      </c>
    </row>
    <row r="144" ht="20" customHeight="1">
      <c r="A144" s="2" t="n">
        <v>143</v>
      </c>
      <c r="B144" s="3" t="inlineStr">
        <is>
          <t>Vachoaa</t>
        </is>
      </c>
      <c r="C144" s="3" t="inlineStr">
        <is>
          <t>ਵਾਚੋਆ</t>
        </is>
      </c>
      <c r="D144" s="4" t="inlineStr">
        <is>
          <t>Gained in 2024 (New Win)</t>
        </is>
      </c>
      <c r="E144" s="5" t="n">
        <v>129</v>
      </c>
      <c r="F144" s="6">
        <f>129/537</f>
        <v/>
      </c>
      <c r="G144" s="7" t="inlineStr">
        <is>
          <t>SAD</t>
        </is>
      </c>
      <c r="H144" s="5" t="n">
        <v>188</v>
      </c>
      <c r="I144" s="6">
        <f>188/473</f>
        <v/>
      </c>
      <c r="J144" s="7" t="inlineStr">
        <is>
          <t>AAP</t>
        </is>
      </c>
      <c r="K144" s="5" t="n">
        <v>59</v>
      </c>
      <c r="L144" s="8">
        <f>I144-F144</f>
        <v/>
      </c>
      <c r="M144" s="5" t="n">
        <v>37</v>
      </c>
      <c r="N144" s="5" t="n">
        <v>473</v>
      </c>
    </row>
    <row r="145" ht="20" customHeight="1">
      <c r="A145" s="9" t="n">
        <v>144</v>
      </c>
      <c r="B145" s="10" t="inlineStr">
        <is>
          <t>Fir Wariah</t>
        </is>
      </c>
      <c r="C145" s="10" t="inlineStr">
        <is>
          <t>ਫਿਰ ਵੜੈਚ</t>
        </is>
      </c>
      <c r="D145" s="17" t="inlineStr">
        <is>
          <t>Lost Both Times (Deficit)</t>
        </is>
      </c>
      <c r="E145" s="12" t="n">
        <v>51</v>
      </c>
      <c r="F145" s="13">
        <f>51/313</f>
        <v/>
      </c>
      <c r="G145" s="14" t="inlineStr">
        <is>
          <t>INC</t>
        </is>
      </c>
      <c r="H145" s="12" t="n">
        <v>162</v>
      </c>
      <c r="I145" s="13">
        <f>162/346</f>
        <v/>
      </c>
      <c r="J145" s="14" t="inlineStr">
        <is>
          <t>INC</t>
        </is>
      </c>
      <c r="K145" s="12" t="n">
        <v>111</v>
      </c>
      <c r="L145" s="15">
        <f>I145-F145</f>
        <v/>
      </c>
      <c r="M145" s="12" t="n">
        <v>2</v>
      </c>
      <c r="N145" s="12" t="n">
        <v>346</v>
      </c>
    </row>
    <row r="146" ht="20" customHeight="1">
      <c r="A146" s="2" t="n">
        <v>145</v>
      </c>
      <c r="B146" s="3" t="inlineStr">
        <is>
          <t>Kot Kesara Singh</t>
        </is>
      </c>
      <c r="C146" s="3" t="inlineStr">
        <is>
          <t>ਕੋਟ ਕੇਸਰਾ ਸਿੰਘ</t>
        </is>
      </c>
      <c r="D146" s="16" t="inlineStr">
        <is>
          <t>Lost in 2024 (to INC)</t>
        </is>
      </c>
      <c r="E146" s="5" t="n">
        <v>155</v>
      </c>
      <c r="F146" s="6">
        <f>155/373</f>
        <v/>
      </c>
      <c r="G146" s="7" t="inlineStr">
        <is>
          <t>AAP</t>
        </is>
      </c>
      <c r="H146" s="5" t="n">
        <v>86</v>
      </c>
      <c r="I146" s="6">
        <f>86/352</f>
        <v/>
      </c>
      <c r="J146" s="7" t="inlineStr">
        <is>
          <t>INC</t>
        </is>
      </c>
      <c r="K146" s="5" t="n">
        <v>-69</v>
      </c>
      <c r="L146" s="8">
        <f>I146-F146</f>
        <v/>
      </c>
      <c r="M146" s="5" t="n">
        <v>54</v>
      </c>
      <c r="N146" s="5" t="n">
        <v>352</v>
      </c>
    </row>
    <row r="147" ht="20" customHeight="1">
      <c r="A147" s="9" t="n">
        <v>146</v>
      </c>
      <c r="B147" s="10" t="inlineStr">
        <is>
          <t>Sangatpura</t>
        </is>
      </c>
      <c r="C147" s="10" t="inlineStr">
        <is>
          <t>ਸੰਗਤਪੁਰਾ</t>
        </is>
      </c>
      <c r="D147" s="11" t="inlineStr">
        <is>
          <t>Won Both Times (Stronghold)</t>
        </is>
      </c>
      <c r="E147" s="12" t="n">
        <v>402</v>
      </c>
      <c r="F147" s="13">
        <f>402/849</f>
        <v/>
      </c>
      <c r="G147" s="14" t="inlineStr">
        <is>
          <t>AAP</t>
        </is>
      </c>
      <c r="H147" s="12" t="n">
        <v>254</v>
      </c>
      <c r="I147" s="13">
        <f>254/699</f>
        <v/>
      </c>
      <c r="J147" s="14" t="inlineStr">
        <is>
          <t>AAP</t>
        </is>
      </c>
      <c r="K147" s="12" t="n">
        <v>-148</v>
      </c>
      <c r="L147" s="15">
        <f>I147-F147</f>
        <v/>
      </c>
      <c r="M147" s="12" t="n">
        <v>80</v>
      </c>
      <c r="N147" s="12" t="n">
        <v>699</v>
      </c>
    </row>
    <row r="148" ht="20" customHeight="1">
      <c r="A148" s="2" t="n">
        <v>147</v>
      </c>
      <c r="B148" s="3" t="inlineStr">
        <is>
          <t>Sangatpura</t>
        </is>
      </c>
      <c r="C148" s="3" t="inlineStr">
        <is>
          <t>ਸੰਗਤਪੁਰਾ</t>
        </is>
      </c>
      <c r="D148" s="11" t="inlineStr">
        <is>
          <t>Won Both Times (Stronghold)</t>
        </is>
      </c>
      <c r="E148" s="5" t="n">
        <v>176</v>
      </c>
      <c r="F148" s="6">
        <f>176/409</f>
        <v/>
      </c>
      <c r="G148" s="7" t="inlineStr">
        <is>
          <t>AAP</t>
        </is>
      </c>
      <c r="H148" s="5" t="n">
        <v>194</v>
      </c>
      <c r="I148" s="6">
        <f>194/349</f>
        <v/>
      </c>
      <c r="J148" s="7" t="inlineStr">
        <is>
          <t>AAP</t>
        </is>
      </c>
      <c r="K148" s="5" t="n">
        <v>18</v>
      </c>
      <c r="L148" s="8">
        <f>I148-F148</f>
        <v/>
      </c>
      <c r="M148" s="5" t="n">
        <v>140</v>
      </c>
      <c r="N148" s="5" t="n">
        <v>349</v>
      </c>
    </row>
    <row r="149" ht="20" customHeight="1">
      <c r="A149" s="9" t="n">
        <v>148</v>
      </c>
      <c r="B149" s="10" t="inlineStr">
        <is>
          <t>Jhander</t>
        </is>
      </c>
      <c r="C149" s="10" t="inlineStr">
        <is>
          <t>ਝੰਡੇਰ</t>
        </is>
      </c>
      <c r="D149" s="17" t="inlineStr">
        <is>
          <t>Lost Both Times (Deficit)</t>
        </is>
      </c>
      <c r="E149" s="12" t="n">
        <v>237</v>
      </c>
      <c r="F149" s="13">
        <f>237/674</f>
        <v/>
      </c>
      <c r="G149" s="14" t="inlineStr">
        <is>
          <t>INC</t>
        </is>
      </c>
      <c r="H149" s="12" t="n">
        <v>157</v>
      </c>
      <c r="I149" s="13">
        <f>157/644</f>
        <v/>
      </c>
      <c r="J149" s="14" t="inlineStr">
        <is>
          <t>SAD</t>
        </is>
      </c>
      <c r="K149" s="12" t="n">
        <v>-80</v>
      </c>
      <c r="L149" s="15">
        <f>I149-F149</f>
        <v/>
      </c>
      <c r="M149" s="12" t="n">
        <v>60</v>
      </c>
      <c r="N149" s="12" t="n">
        <v>644</v>
      </c>
    </row>
    <row r="150" ht="20" customHeight="1">
      <c r="A150" s="2" t="n">
        <v>149</v>
      </c>
      <c r="B150" s="3" t="inlineStr">
        <is>
          <t>Jhander</t>
        </is>
      </c>
      <c r="C150" s="3" t="inlineStr">
        <is>
          <t>ਝੰਡੇਰ</t>
        </is>
      </c>
      <c r="D150" s="16" t="inlineStr">
        <is>
          <t>Lost in 2024 (to SAD)</t>
        </is>
      </c>
      <c r="E150" s="5" t="n">
        <v>232</v>
      </c>
      <c r="F150" s="6">
        <f>232/677</f>
        <v/>
      </c>
      <c r="G150" s="7" t="inlineStr">
        <is>
          <t>AAP</t>
        </is>
      </c>
      <c r="H150" s="5" t="n">
        <v>157</v>
      </c>
      <c r="I150" s="6">
        <f>157/541</f>
        <v/>
      </c>
      <c r="J150" s="7" t="inlineStr">
        <is>
          <t>SAD</t>
        </is>
      </c>
      <c r="K150" s="5" t="n">
        <v>-75</v>
      </c>
      <c r="L150" s="8">
        <f>I150-F150</f>
        <v/>
      </c>
      <c r="M150" s="5" t="n">
        <v>22</v>
      </c>
      <c r="N150" s="5" t="n">
        <v>541</v>
      </c>
    </row>
    <row r="151" ht="20" customHeight="1">
      <c r="A151" s="9" t="n">
        <v>150</v>
      </c>
      <c r="B151" s="10" t="inlineStr">
        <is>
          <t>Salodin</t>
        </is>
      </c>
      <c r="C151" s="10" t="inlineStr">
        <is>
          <t>ਸਲੋਦੀਨ</t>
        </is>
      </c>
      <c r="D151" s="16" t="inlineStr">
        <is>
          <t>Lost in 2024 (to SAD)</t>
        </is>
      </c>
      <c r="E151" s="12" t="n">
        <v>194</v>
      </c>
      <c r="F151" s="13">
        <f>194/482</f>
        <v/>
      </c>
      <c r="G151" s="14" t="inlineStr">
        <is>
          <t>AAP</t>
        </is>
      </c>
      <c r="H151" s="12" t="n">
        <v>48</v>
      </c>
      <c r="I151" s="13">
        <f>48/419</f>
        <v/>
      </c>
      <c r="J151" s="14" t="inlineStr">
        <is>
          <t>SAD</t>
        </is>
      </c>
      <c r="K151" s="12" t="n">
        <v>-146</v>
      </c>
      <c r="L151" s="15">
        <f>I151-F151</f>
        <v/>
      </c>
      <c r="M151" s="12" t="n">
        <v>196</v>
      </c>
      <c r="N151" s="12" t="n">
        <v>419</v>
      </c>
    </row>
    <row r="152" ht="20" customHeight="1">
      <c r="A152" s="2" t="n">
        <v>151</v>
      </c>
      <c r="B152" s="3" t="inlineStr">
        <is>
          <t>Khatrai Kalan</t>
        </is>
      </c>
      <c r="C152" s="3" t="inlineStr">
        <is>
          <t>ਖਤਰਾਏ ਕਲਾਂ</t>
        </is>
      </c>
      <c r="D152" s="16" t="inlineStr">
        <is>
          <t>Lost in 2024 (to SAD)</t>
        </is>
      </c>
      <c r="E152" s="5" t="n">
        <v>284</v>
      </c>
      <c r="F152" s="6">
        <f>284/772</f>
        <v/>
      </c>
      <c r="G152" s="7" t="inlineStr">
        <is>
          <t>AAP</t>
        </is>
      </c>
      <c r="H152" s="5" t="n">
        <v>161</v>
      </c>
      <c r="I152" s="6">
        <f>161/671</f>
        <v/>
      </c>
      <c r="J152" s="7" t="inlineStr">
        <is>
          <t>SAD</t>
        </is>
      </c>
      <c r="K152" s="5" t="n">
        <v>-123</v>
      </c>
      <c r="L152" s="8">
        <f>I152-F152</f>
        <v/>
      </c>
      <c r="M152" s="5" t="n">
        <v>142</v>
      </c>
      <c r="N152" s="5" t="n">
        <v>671</v>
      </c>
    </row>
    <row r="153" ht="20" customHeight="1">
      <c r="A153" s="9" t="n">
        <v>152</v>
      </c>
      <c r="B153" s="10" t="inlineStr">
        <is>
          <t>Bath</t>
        </is>
      </c>
      <c r="C153" s="10" t="inlineStr">
        <is>
          <t>ਬਾਠ</t>
        </is>
      </c>
      <c r="D153" s="11" t="inlineStr">
        <is>
          <t>Won Both Times (Stronghold)</t>
        </is>
      </c>
      <c r="E153" s="12" t="n">
        <v>392</v>
      </c>
      <c r="F153" s="13">
        <f>392/919</f>
        <v/>
      </c>
      <c r="G153" s="14" t="inlineStr">
        <is>
          <t>AAP</t>
        </is>
      </c>
      <c r="H153" s="12" t="n">
        <v>349</v>
      </c>
      <c r="I153" s="13">
        <f>349/772</f>
        <v/>
      </c>
      <c r="J153" s="14" t="inlineStr">
        <is>
          <t>AAP</t>
        </is>
      </c>
      <c r="K153" s="12" t="n">
        <v>-43</v>
      </c>
      <c r="L153" s="15">
        <f>I153-F153</f>
        <v/>
      </c>
      <c r="M153" s="12" t="n">
        <v>122</v>
      </c>
      <c r="N153" s="12" t="n">
        <v>772</v>
      </c>
    </row>
    <row r="154" ht="20" customHeight="1">
      <c r="A154" s="2" t="n">
        <v>153</v>
      </c>
      <c r="B154" s="3" t="inlineStr">
        <is>
          <t>Kamalpura</t>
        </is>
      </c>
      <c r="C154" s="3" t="inlineStr">
        <is>
          <t>ਕਮਾਲਪੁਰਾ</t>
        </is>
      </c>
      <c r="D154" s="18" t="inlineStr">
        <is>
          <t>Weak Booth (&lt; 20% Share)</t>
        </is>
      </c>
      <c r="E154" s="5" t="n">
        <v>240</v>
      </c>
      <c r="F154" s="6">
        <f>240/650</f>
        <v/>
      </c>
      <c r="G154" s="7" t="inlineStr">
        <is>
          <t>SAD</t>
        </is>
      </c>
      <c r="H154" s="5" t="n">
        <v>112</v>
      </c>
      <c r="I154" s="6">
        <f>112/597</f>
        <v/>
      </c>
      <c r="J154" s="7" t="inlineStr">
        <is>
          <t>SAD</t>
        </is>
      </c>
      <c r="K154" s="5" t="n">
        <v>-128</v>
      </c>
      <c r="L154" s="8">
        <f>I154-F154</f>
        <v/>
      </c>
      <c r="M154" s="5" t="n">
        <v>96</v>
      </c>
      <c r="N154" s="5" t="n">
        <v>597</v>
      </c>
    </row>
    <row r="155" ht="20" customHeight="1">
      <c r="A155" s="9" t="n">
        <v>154</v>
      </c>
      <c r="B155" s="10" t="inlineStr">
        <is>
          <t>Kamalpura</t>
        </is>
      </c>
      <c r="C155" s="10" t="inlineStr">
        <is>
          <t>ਕਮਾਲਪੁਰਾ</t>
        </is>
      </c>
      <c r="D155" s="16" t="inlineStr">
        <is>
          <t>Lost in 2024 (to INC)</t>
        </is>
      </c>
      <c r="E155" s="12" t="n">
        <v>274</v>
      </c>
      <c r="F155" s="13">
        <f>274/621</f>
        <v/>
      </c>
      <c r="G155" s="14" t="inlineStr">
        <is>
          <t>AAP</t>
        </is>
      </c>
      <c r="H155" s="12" t="n">
        <v>145</v>
      </c>
      <c r="I155" s="13">
        <f>145/571</f>
        <v/>
      </c>
      <c r="J155" s="14" t="inlineStr">
        <is>
          <t>INC</t>
        </is>
      </c>
      <c r="K155" s="12" t="n">
        <v>-129</v>
      </c>
      <c r="L155" s="15">
        <f>I155-F155</f>
        <v/>
      </c>
      <c r="M155" s="12" t="n">
        <v>92</v>
      </c>
      <c r="N155" s="12" t="n">
        <v>571</v>
      </c>
    </row>
    <row r="156" ht="20" customHeight="1">
      <c r="A156" s="2" t="n">
        <v>155</v>
      </c>
      <c r="B156" s="3" t="inlineStr">
        <is>
          <t>Mukam</t>
        </is>
      </c>
      <c r="C156" s="3" t="inlineStr">
        <is>
          <t>ਮੁਕਾਮ</t>
        </is>
      </c>
      <c r="D156" s="17" t="inlineStr">
        <is>
          <t>Lost Both Times (Deficit)</t>
        </is>
      </c>
      <c r="E156" s="5" t="n">
        <v>149</v>
      </c>
      <c r="F156" s="6">
        <f>149/693</f>
        <v/>
      </c>
      <c r="G156" s="7" t="inlineStr">
        <is>
          <t>INC</t>
        </is>
      </c>
      <c r="H156" s="5" t="n">
        <v>164</v>
      </c>
      <c r="I156" s="6">
        <f>164/632</f>
        <v/>
      </c>
      <c r="J156" s="7" t="inlineStr">
        <is>
          <t>BJP</t>
        </is>
      </c>
      <c r="K156" s="5" t="n">
        <v>15</v>
      </c>
      <c r="L156" s="8">
        <f>I156-F156</f>
        <v/>
      </c>
      <c r="M156" s="5" t="n">
        <v>67</v>
      </c>
      <c r="N156" s="5" t="n">
        <v>632</v>
      </c>
    </row>
    <row r="157" ht="20" customHeight="1">
      <c r="A157" s="9" t="n">
        <v>156</v>
      </c>
      <c r="B157" s="10" t="inlineStr">
        <is>
          <t>Chamiari</t>
        </is>
      </c>
      <c r="C157" s="10" t="inlineStr">
        <is>
          <t>ਚਮਿਆਰੀ</t>
        </is>
      </c>
      <c r="D157" s="11" t="inlineStr">
        <is>
          <t>Won Both Times (Stronghold)</t>
        </is>
      </c>
      <c r="E157" s="12" t="n">
        <v>316</v>
      </c>
      <c r="F157" s="13">
        <f>316/655</f>
        <v/>
      </c>
      <c r="G157" s="14" t="inlineStr">
        <is>
          <t>AAP</t>
        </is>
      </c>
      <c r="H157" s="12" t="n">
        <v>305</v>
      </c>
      <c r="I157" s="13">
        <f>305/543</f>
        <v/>
      </c>
      <c r="J157" s="14" t="inlineStr">
        <is>
          <t>AAP</t>
        </is>
      </c>
      <c r="K157" s="12" t="n">
        <v>-11</v>
      </c>
      <c r="L157" s="15">
        <f>I157-F157</f>
        <v/>
      </c>
      <c r="M157" s="12" t="n">
        <v>181</v>
      </c>
      <c r="N157" s="12" t="n">
        <v>543</v>
      </c>
    </row>
    <row r="158" ht="20" customHeight="1">
      <c r="A158" s="2" t="n">
        <v>157</v>
      </c>
      <c r="B158" s="3" t="inlineStr">
        <is>
          <t>Chamiari</t>
        </is>
      </c>
      <c r="C158" s="3" t="inlineStr">
        <is>
          <t>ਚਮਿਆਰੀ</t>
        </is>
      </c>
      <c r="D158" s="17" t="inlineStr">
        <is>
          <t>Lost Both Times (Deficit)</t>
        </is>
      </c>
      <c r="E158" s="5" t="n">
        <v>198</v>
      </c>
      <c r="F158" s="6">
        <f>198/788</f>
        <v/>
      </c>
      <c r="G158" s="7" t="inlineStr">
        <is>
          <t>INC</t>
        </is>
      </c>
      <c r="H158" s="5" t="n">
        <v>274</v>
      </c>
      <c r="I158" s="6">
        <f>274/676</f>
        <v/>
      </c>
      <c r="J158" s="7" t="inlineStr">
        <is>
          <t>INC</t>
        </is>
      </c>
      <c r="K158" s="5" t="n">
        <v>76</v>
      </c>
      <c r="L158" s="8">
        <f>I158-F158</f>
        <v/>
      </c>
      <c r="M158" s="5" t="n">
        <v>37</v>
      </c>
      <c r="N158" s="5" t="n">
        <v>676</v>
      </c>
    </row>
    <row r="159" ht="20" customHeight="1">
      <c r="A159" s="9" t="n">
        <v>158</v>
      </c>
      <c r="B159" s="10" t="inlineStr">
        <is>
          <t>Chamiari</t>
        </is>
      </c>
      <c r="C159" s="10" t="inlineStr">
        <is>
          <t>ਚਮਿਆਰੀ</t>
        </is>
      </c>
      <c r="D159" s="16" t="inlineStr">
        <is>
          <t>Lost in 2024 (to INC)</t>
        </is>
      </c>
      <c r="E159" s="12" t="n">
        <v>347</v>
      </c>
      <c r="F159" s="13">
        <f>347/789</f>
        <v/>
      </c>
      <c r="G159" s="14" t="inlineStr">
        <is>
          <t>AAP</t>
        </is>
      </c>
      <c r="H159" s="12" t="n">
        <v>235</v>
      </c>
      <c r="I159" s="13">
        <f>235/617</f>
        <v/>
      </c>
      <c r="J159" s="14" t="inlineStr">
        <is>
          <t>INC</t>
        </is>
      </c>
      <c r="K159" s="12" t="n">
        <v>-112</v>
      </c>
      <c r="L159" s="15">
        <f>I159-F159</f>
        <v/>
      </c>
      <c r="M159" s="12" t="n">
        <v>42</v>
      </c>
      <c r="N159" s="12" t="n">
        <v>617</v>
      </c>
    </row>
    <row r="160" ht="20" customHeight="1">
      <c r="A160" s="2" t="n">
        <v>159</v>
      </c>
      <c r="B160" s="3" t="inlineStr">
        <is>
          <t>Chamiari (Abadi Gujhapir)</t>
        </is>
      </c>
      <c r="C160" s="3" t="inlineStr">
        <is>
          <t>ਚਮਿਆਰੀ (ਆਬਾਦੀ ਗੁੱਝਾਪੀਰ)</t>
        </is>
      </c>
      <c r="D160" s="18" t="inlineStr">
        <is>
          <t>Weak Booth (&lt; 20% Share)</t>
        </is>
      </c>
      <c r="E160" s="5" t="n">
        <v>120</v>
      </c>
      <c r="F160" s="6">
        <f>120/1018</f>
        <v/>
      </c>
      <c r="G160" s="7" t="inlineStr">
        <is>
          <t>INC</t>
        </is>
      </c>
      <c r="H160" s="5" t="n">
        <v>90</v>
      </c>
      <c r="I160" s="6">
        <f>90/936</f>
        <v/>
      </c>
      <c r="J160" s="7" t="inlineStr">
        <is>
          <t>INC</t>
        </is>
      </c>
      <c r="K160" s="5" t="n">
        <v>-30</v>
      </c>
      <c r="L160" s="8">
        <f>I160-F160</f>
        <v/>
      </c>
      <c r="M160" s="5" t="n">
        <v>152</v>
      </c>
      <c r="N160" s="5" t="n">
        <v>936</v>
      </c>
    </row>
    <row r="161" ht="20" customHeight="1">
      <c r="A161" s="9" t="n">
        <v>160</v>
      </c>
      <c r="B161" s="10" t="inlineStr">
        <is>
          <t>Bhoeawali</t>
        </is>
      </c>
      <c r="C161" s="10" t="inlineStr">
        <is>
          <t>ਭੋਏਵਾਲੀ</t>
        </is>
      </c>
      <c r="D161" s="17" t="inlineStr">
        <is>
          <t>Lost Both Times (Deficit)</t>
        </is>
      </c>
      <c r="E161" s="12" t="n">
        <v>186</v>
      </c>
      <c r="F161" s="13">
        <f>186/650</f>
        <v/>
      </c>
      <c r="G161" s="14" t="inlineStr">
        <is>
          <t>SAD</t>
        </is>
      </c>
      <c r="H161" s="12" t="n">
        <v>200</v>
      </c>
      <c r="I161" s="13">
        <f>200/602</f>
        <v/>
      </c>
      <c r="J161" s="14" t="inlineStr">
        <is>
          <t>INC</t>
        </is>
      </c>
      <c r="K161" s="12" t="n">
        <v>14</v>
      </c>
      <c r="L161" s="15">
        <f>I161-F161</f>
        <v/>
      </c>
      <c r="M161" s="12" t="n">
        <v>1</v>
      </c>
      <c r="N161" s="12" t="n">
        <v>602</v>
      </c>
    </row>
    <row r="162" ht="20" customHeight="1">
      <c r="A162" s="2" t="n">
        <v>161</v>
      </c>
      <c r="B162" s="3" t="inlineStr">
        <is>
          <t>Bhoeawali</t>
        </is>
      </c>
      <c r="C162" s="3" t="inlineStr">
        <is>
          <t>ਭੋਏਵਾਲੀ</t>
        </is>
      </c>
      <c r="D162" s="17" t="inlineStr">
        <is>
          <t>Lost Both Times (Deficit)</t>
        </is>
      </c>
      <c r="E162" s="5" t="n">
        <v>136</v>
      </c>
      <c r="F162" s="6">
        <f>136/453</f>
        <v/>
      </c>
      <c r="G162" s="7" t="inlineStr">
        <is>
          <t>INC</t>
        </is>
      </c>
      <c r="H162" s="5" t="n">
        <v>93</v>
      </c>
      <c r="I162" s="6">
        <f>93/404</f>
        <v/>
      </c>
      <c r="J162" s="7" t="inlineStr">
        <is>
          <t>INC</t>
        </is>
      </c>
      <c r="K162" s="5" t="n">
        <v>-43</v>
      </c>
      <c r="L162" s="8">
        <f>I162-F162</f>
        <v/>
      </c>
      <c r="M162" s="5" t="n">
        <v>115</v>
      </c>
      <c r="N162" s="5" t="n">
        <v>404</v>
      </c>
    </row>
    <row r="163" ht="20" customHeight="1">
      <c r="A163" s="9" t="n">
        <v>162</v>
      </c>
      <c r="B163" s="10" t="inlineStr">
        <is>
          <t>Kiyampur</t>
        </is>
      </c>
      <c r="C163" s="10" t="inlineStr">
        <is>
          <t>ਕਿਆਮਪੁਰ</t>
        </is>
      </c>
      <c r="D163" s="16" t="inlineStr">
        <is>
          <t>Lost in 2024 (to SAD)</t>
        </is>
      </c>
      <c r="E163" s="12" t="n">
        <v>455</v>
      </c>
      <c r="F163" s="13">
        <f>455/870</f>
        <v/>
      </c>
      <c r="G163" s="14" t="inlineStr">
        <is>
          <t>AAP</t>
        </is>
      </c>
      <c r="H163" s="12" t="n">
        <v>228</v>
      </c>
      <c r="I163" s="13">
        <f>228/752</f>
        <v/>
      </c>
      <c r="J163" s="14" t="inlineStr">
        <is>
          <t>SAD</t>
        </is>
      </c>
      <c r="K163" s="12" t="n">
        <v>-227</v>
      </c>
      <c r="L163" s="15">
        <f>I163-F163</f>
        <v/>
      </c>
      <c r="M163" s="12" t="n">
        <v>55</v>
      </c>
      <c r="N163" s="12" t="n">
        <v>752</v>
      </c>
    </row>
    <row r="164" ht="20" customHeight="1">
      <c r="A164" s="2" t="n">
        <v>163</v>
      </c>
      <c r="B164" s="3" t="inlineStr">
        <is>
          <t>Kiyampur</t>
        </is>
      </c>
      <c r="C164" s="3" t="inlineStr">
        <is>
          <t>ਕਿਆਮਪੁਰ</t>
        </is>
      </c>
      <c r="D164" s="18" t="inlineStr">
        <is>
          <t>Weak Booth (&lt; 20% Share)</t>
        </is>
      </c>
      <c r="E164" s="5" t="n">
        <v>145</v>
      </c>
      <c r="F164" s="6">
        <f>145/499</f>
        <v/>
      </c>
      <c r="G164" s="7" t="inlineStr">
        <is>
          <t>SAD</t>
        </is>
      </c>
      <c r="H164" s="5" t="n">
        <v>48</v>
      </c>
      <c r="I164" s="6">
        <f>48/397</f>
        <v/>
      </c>
      <c r="J164" s="7" t="inlineStr">
        <is>
          <t>INC</t>
        </is>
      </c>
      <c r="K164" s="5" t="n">
        <v>-97</v>
      </c>
      <c r="L164" s="8">
        <f>I164-F164</f>
        <v/>
      </c>
      <c r="M164" s="5" t="n">
        <v>28</v>
      </c>
      <c r="N164" s="5" t="n">
        <v>397</v>
      </c>
    </row>
    <row r="165" ht="20" customHeight="1">
      <c r="A165" s="9" t="n">
        <v>164</v>
      </c>
      <c r="B165" s="10" t="inlineStr">
        <is>
          <t>Terha Khurd</t>
        </is>
      </c>
      <c r="C165" s="10" t="inlineStr">
        <is>
          <t>ਤੇੜ੍ਹਾ ਖੁਰਦ</t>
        </is>
      </c>
      <c r="D165" s="11" t="inlineStr">
        <is>
          <t>Won Both Times (Stronghold)</t>
        </is>
      </c>
      <c r="E165" s="12" t="n">
        <v>309</v>
      </c>
      <c r="F165" s="13">
        <f>309/798</f>
        <v/>
      </c>
      <c r="G165" s="14" t="inlineStr">
        <is>
          <t>AAP</t>
        </is>
      </c>
      <c r="H165" s="12" t="n">
        <v>233</v>
      </c>
      <c r="I165" s="13">
        <f>233/734</f>
        <v/>
      </c>
      <c r="J165" s="14" t="inlineStr">
        <is>
          <t>AAP</t>
        </is>
      </c>
      <c r="K165" s="12" t="n">
        <v>-76</v>
      </c>
      <c r="L165" s="15">
        <f>I165-F165</f>
        <v/>
      </c>
      <c r="M165" s="12" t="n">
        <v>65</v>
      </c>
      <c r="N165" s="12" t="n">
        <v>734</v>
      </c>
    </row>
    <row r="166" ht="20" customHeight="1">
      <c r="A166" s="2" t="n">
        <v>165</v>
      </c>
      <c r="B166" s="3" t="inlineStr">
        <is>
          <t>Terha Kalan</t>
        </is>
      </c>
      <c r="C166" s="3" t="inlineStr">
        <is>
          <t>ਤੇੜ੍ਹਾ ਕਲਾਂ</t>
        </is>
      </c>
      <c r="D166" s="11" t="inlineStr">
        <is>
          <t>Won Both Times (Stronghold)</t>
        </is>
      </c>
      <c r="E166" s="5" t="n">
        <v>331</v>
      </c>
      <c r="F166" s="6">
        <f>331/640</f>
        <v/>
      </c>
      <c r="G166" s="7" t="inlineStr">
        <is>
          <t>AAP</t>
        </is>
      </c>
      <c r="H166" s="5" t="n">
        <v>227</v>
      </c>
      <c r="I166" s="6">
        <f>227/571</f>
        <v/>
      </c>
      <c r="J166" s="7" t="inlineStr">
        <is>
          <t>AAP</t>
        </is>
      </c>
      <c r="K166" s="5" t="n">
        <v>-104</v>
      </c>
      <c r="L166" s="8">
        <f>I166-F166</f>
        <v/>
      </c>
      <c r="M166" s="5" t="n">
        <v>84</v>
      </c>
      <c r="N166" s="5" t="n">
        <v>571</v>
      </c>
    </row>
    <row r="167" ht="20" customHeight="1">
      <c r="A167" s="9" t="n">
        <v>166</v>
      </c>
      <c r="B167" s="10" t="inlineStr">
        <is>
          <t>Terha Kalan</t>
        </is>
      </c>
      <c r="C167" s="10" t="inlineStr">
        <is>
          <t>ਤੇੜ੍ਹਾ ਕਲਾਂ</t>
        </is>
      </c>
      <c r="D167" s="4" t="inlineStr">
        <is>
          <t>Gained in 2024 (New Win)</t>
        </is>
      </c>
      <c r="E167" s="12" t="n">
        <v>162</v>
      </c>
      <c r="F167" s="13">
        <f>162/661</f>
        <v/>
      </c>
      <c r="G167" s="14" t="inlineStr">
        <is>
          <t>SAD</t>
        </is>
      </c>
      <c r="H167" s="12" t="n">
        <v>252</v>
      </c>
      <c r="I167" s="13">
        <f>252/617</f>
        <v/>
      </c>
      <c r="J167" s="14" t="inlineStr">
        <is>
          <t>AAP</t>
        </is>
      </c>
      <c r="K167" s="12" t="n">
        <v>90</v>
      </c>
      <c r="L167" s="15">
        <f>I167-F167</f>
        <v/>
      </c>
      <c r="M167" s="12" t="n">
        <v>39</v>
      </c>
      <c r="N167" s="12" t="n">
        <v>617</v>
      </c>
    </row>
    <row r="168" ht="20" customHeight="1">
      <c r="A168" s="2" t="n">
        <v>167</v>
      </c>
      <c r="B168" s="3" t="inlineStr">
        <is>
          <t>Khatrai Khurd</t>
        </is>
      </c>
      <c r="C168" s="3" t="inlineStr">
        <is>
          <t>ਖਤਰਾਏ ਖੁਰਦ</t>
        </is>
      </c>
      <c r="D168" s="16" t="inlineStr">
        <is>
          <t>Lost in 2024 (to SAD)</t>
        </is>
      </c>
      <c r="E168" s="5" t="n">
        <v>171</v>
      </c>
      <c r="F168" s="6">
        <f>171/430</f>
        <v/>
      </c>
      <c r="G168" s="7" t="inlineStr">
        <is>
          <t>AAP</t>
        </is>
      </c>
      <c r="H168" s="5" t="n">
        <v>78</v>
      </c>
      <c r="I168" s="6">
        <f>78/387</f>
        <v/>
      </c>
      <c r="J168" s="7" t="inlineStr">
        <is>
          <t>SAD</t>
        </is>
      </c>
      <c r="K168" s="5" t="n">
        <v>-93</v>
      </c>
      <c r="L168" s="8">
        <f>I168-F168</f>
        <v/>
      </c>
      <c r="M168" s="5" t="n">
        <v>78</v>
      </c>
      <c r="N168" s="5" t="n">
        <v>387</v>
      </c>
    </row>
    <row r="169" ht="20" customHeight="1">
      <c r="A169" s="9" t="n">
        <v>168</v>
      </c>
      <c r="B169" s="10" t="inlineStr">
        <is>
          <t>Lashkari Nangal</t>
        </is>
      </c>
      <c r="C169" s="10" t="inlineStr">
        <is>
          <t>ਲਸ਼ਕਰੀ ਨੰਗਲ</t>
        </is>
      </c>
      <c r="D169" s="17" t="inlineStr">
        <is>
          <t>Lost Both Times (Deficit)</t>
        </is>
      </c>
      <c r="E169" s="12" t="n">
        <v>277</v>
      </c>
      <c r="F169" s="13">
        <f>277/867</f>
        <v/>
      </c>
      <c r="G169" s="14" t="inlineStr">
        <is>
          <t>SAD</t>
        </is>
      </c>
      <c r="H169" s="12" t="n">
        <v>192</v>
      </c>
      <c r="I169" s="13">
        <f>192/781</f>
        <v/>
      </c>
      <c r="J169" s="14" t="inlineStr">
        <is>
          <t>SAD</t>
        </is>
      </c>
      <c r="K169" s="12" t="n">
        <v>-85</v>
      </c>
      <c r="L169" s="15">
        <f>I169-F169</f>
        <v/>
      </c>
      <c r="M169" s="12" t="n">
        <v>142</v>
      </c>
      <c r="N169" s="12" t="n">
        <v>781</v>
      </c>
    </row>
    <row r="170" ht="20" customHeight="1">
      <c r="A170" s="2" t="n">
        <v>169</v>
      </c>
      <c r="B170" s="3" t="inlineStr">
        <is>
          <t>Kandowali</t>
        </is>
      </c>
      <c r="C170" s="3" t="inlineStr">
        <is>
          <t>ਕੰਦੋਵਾਲੀ</t>
        </is>
      </c>
      <c r="D170" s="11" t="inlineStr">
        <is>
          <t>Won Both Times (Stronghold)</t>
        </is>
      </c>
      <c r="E170" s="5" t="n">
        <v>400</v>
      </c>
      <c r="F170" s="6">
        <f>400/919</f>
        <v/>
      </c>
      <c r="G170" s="7" t="inlineStr">
        <is>
          <t>AAP</t>
        </is>
      </c>
      <c r="H170" s="5" t="n">
        <v>398</v>
      </c>
      <c r="I170" s="6">
        <f>398/893</f>
        <v/>
      </c>
      <c r="J170" s="7" t="inlineStr">
        <is>
          <t>AAP</t>
        </is>
      </c>
      <c r="K170" s="5" t="n">
        <v>-2</v>
      </c>
      <c r="L170" s="8">
        <f>I170-F170</f>
        <v/>
      </c>
      <c r="M170" s="5" t="n">
        <v>101</v>
      </c>
      <c r="N170" s="5" t="n">
        <v>893</v>
      </c>
    </row>
    <row r="171" ht="20" customHeight="1">
      <c r="A171" s="9" t="n">
        <v>170</v>
      </c>
      <c r="B171" s="10" t="inlineStr">
        <is>
          <t>Machi Nangal</t>
        </is>
      </c>
      <c r="C171" s="10" t="inlineStr">
        <is>
          <t>ਮਾਛੀ ਨੰਗਲ</t>
        </is>
      </c>
      <c r="D171" s="16" t="inlineStr">
        <is>
          <t>Lost in 2024 (to SAD)</t>
        </is>
      </c>
      <c r="E171" s="12" t="n">
        <v>202</v>
      </c>
      <c r="F171" s="13">
        <f>202/569</f>
        <v/>
      </c>
      <c r="G171" s="14" t="inlineStr">
        <is>
          <t>AAP</t>
        </is>
      </c>
      <c r="H171" s="12" t="n">
        <v>142</v>
      </c>
      <c r="I171" s="13">
        <f>142/530</f>
        <v/>
      </c>
      <c r="J171" s="14" t="inlineStr">
        <is>
          <t>SAD</t>
        </is>
      </c>
      <c r="K171" s="12" t="n">
        <v>-60</v>
      </c>
      <c r="L171" s="15">
        <f>I171-F171</f>
        <v/>
      </c>
      <c r="M171" s="12" t="n">
        <v>47</v>
      </c>
      <c r="N171" s="12" t="n">
        <v>530</v>
      </c>
    </row>
    <row r="172" ht="20" customHeight="1">
      <c r="A172" s="2" t="n">
        <v>171</v>
      </c>
      <c r="B172" s="3" t="inlineStr">
        <is>
          <t>Majjupura</t>
        </is>
      </c>
      <c r="C172" s="3" t="inlineStr">
        <is>
          <t>ਮੱਜੂਪੁਰਾ</t>
        </is>
      </c>
      <c r="D172" s="4" t="inlineStr">
        <is>
          <t>Gained in 2024 (New Win)</t>
        </is>
      </c>
      <c r="E172" s="5" t="n">
        <v>190</v>
      </c>
      <c r="F172" s="6">
        <f>190/680</f>
        <v/>
      </c>
      <c r="G172" s="7" t="inlineStr">
        <is>
          <t>INC</t>
        </is>
      </c>
      <c r="H172" s="5" t="n">
        <v>251</v>
      </c>
      <c r="I172" s="6">
        <f>251/608</f>
        <v/>
      </c>
      <c r="J172" s="7" t="inlineStr">
        <is>
          <t>AAP</t>
        </is>
      </c>
      <c r="K172" s="5" t="n">
        <v>61</v>
      </c>
      <c r="L172" s="8">
        <f>I172-F172</f>
        <v/>
      </c>
      <c r="M172" s="5" t="n">
        <v>60</v>
      </c>
      <c r="N172" s="5" t="n">
        <v>608</v>
      </c>
    </row>
    <row r="173" ht="20" customHeight="1">
      <c r="A173" s="9" t="n">
        <v>172</v>
      </c>
      <c r="B173" s="10" t="inlineStr">
        <is>
          <t>Chetan Pura</t>
        </is>
      </c>
      <c r="C173" s="10" t="inlineStr">
        <is>
          <t>ਚੇਤਨ ਪੁਰਾ</t>
        </is>
      </c>
      <c r="D173" s="16" t="inlineStr">
        <is>
          <t>Lost in 2024 (to INC)</t>
        </is>
      </c>
      <c r="E173" s="12" t="n">
        <v>251</v>
      </c>
      <c r="F173" s="13">
        <f>251/469</f>
        <v/>
      </c>
      <c r="G173" s="14" t="inlineStr">
        <is>
          <t>AAP</t>
        </is>
      </c>
      <c r="H173" s="12" t="n">
        <v>145</v>
      </c>
      <c r="I173" s="13">
        <f>145/416</f>
        <v/>
      </c>
      <c r="J173" s="14" t="inlineStr">
        <is>
          <t>INC</t>
        </is>
      </c>
      <c r="K173" s="12" t="n">
        <v>-106</v>
      </c>
      <c r="L173" s="15">
        <f>I173-F173</f>
        <v/>
      </c>
      <c r="M173" s="12" t="n">
        <v>1</v>
      </c>
      <c r="N173" s="12" t="n">
        <v>416</v>
      </c>
    </row>
    <row r="174" ht="20" customHeight="1">
      <c r="A174" s="2" t="n">
        <v>173</v>
      </c>
      <c r="B174" s="3" t="inlineStr">
        <is>
          <t>Chetan Pura</t>
        </is>
      </c>
      <c r="C174" s="3" t="inlineStr">
        <is>
          <t>ਚੇਤਨ ਪੁਰਾ</t>
        </is>
      </c>
      <c r="D174" s="11" t="inlineStr">
        <is>
          <t>Won Both Times (Stronghold)</t>
        </is>
      </c>
      <c r="E174" s="5" t="n">
        <v>224</v>
      </c>
      <c r="F174" s="6">
        <f>224/511</f>
        <v/>
      </c>
      <c r="G174" s="7" t="inlineStr">
        <is>
          <t>AAP</t>
        </is>
      </c>
      <c r="H174" s="5" t="n">
        <v>178</v>
      </c>
      <c r="I174" s="6">
        <f>178/454</f>
        <v/>
      </c>
      <c r="J174" s="7" t="inlineStr">
        <is>
          <t>AAP</t>
        </is>
      </c>
      <c r="K174" s="5" t="n">
        <v>-46</v>
      </c>
      <c r="L174" s="8">
        <f>I174-F174</f>
        <v/>
      </c>
      <c r="M174" s="5" t="n">
        <v>17</v>
      </c>
      <c r="N174" s="5" t="n">
        <v>454</v>
      </c>
    </row>
    <row r="175" ht="20" customHeight="1">
      <c r="A175" s="9" t="n">
        <v>174</v>
      </c>
      <c r="B175" s="10" t="inlineStr">
        <is>
          <t>Santu Nangal</t>
        </is>
      </c>
      <c r="C175" s="10" t="inlineStr">
        <is>
          <t>ਸੰਤੂ ਨੰਗਲ</t>
        </is>
      </c>
      <c r="D175" s="4" t="inlineStr">
        <is>
          <t>Gained in 2024 (New Win)</t>
        </is>
      </c>
      <c r="E175" s="12" t="n">
        <v>190</v>
      </c>
      <c r="F175" s="13">
        <f>190/630</f>
        <v/>
      </c>
      <c r="G175" s="14" t="inlineStr">
        <is>
          <t>INC</t>
        </is>
      </c>
      <c r="H175" s="12" t="n">
        <v>236</v>
      </c>
      <c r="I175" s="13">
        <f>236/556</f>
        <v/>
      </c>
      <c r="J175" s="14" t="inlineStr">
        <is>
          <t>AAP</t>
        </is>
      </c>
      <c r="K175" s="12" t="n">
        <v>46</v>
      </c>
      <c r="L175" s="15">
        <f>I175-F175</f>
        <v/>
      </c>
      <c r="M175" s="12" t="n">
        <v>35</v>
      </c>
      <c r="N175" s="12" t="n">
        <v>556</v>
      </c>
    </row>
    <row r="176" ht="20" customHeight="1">
      <c r="A176" s="2" t="n">
        <v>175</v>
      </c>
      <c r="B176" s="3" t="inlineStr">
        <is>
          <t>Pathan Nangal</t>
        </is>
      </c>
      <c r="C176" s="3" t="inlineStr">
        <is>
          <t>ਪਠਾਨ ਨੰਗਲ</t>
        </is>
      </c>
      <c r="D176" s="11" t="inlineStr">
        <is>
          <t>Won Both Times (Stronghold)</t>
        </is>
      </c>
      <c r="E176" s="5" t="n">
        <v>153</v>
      </c>
      <c r="F176" s="6">
        <f>153/359</f>
        <v/>
      </c>
      <c r="G176" s="7" t="inlineStr">
        <is>
          <t>AAP</t>
        </is>
      </c>
      <c r="H176" s="5" t="n">
        <v>140</v>
      </c>
      <c r="I176" s="6">
        <f>140/314</f>
        <v/>
      </c>
      <c r="J176" s="7" t="inlineStr">
        <is>
          <t>AAP</t>
        </is>
      </c>
      <c r="K176" s="5" t="n">
        <v>-13</v>
      </c>
      <c r="L176" s="8">
        <f>I176-F176</f>
        <v/>
      </c>
      <c r="M176" s="5" t="n">
        <v>52</v>
      </c>
      <c r="N176" s="5" t="n">
        <v>314</v>
      </c>
    </row>
    <row r="177" ht="20" customHeight="1">
      <c r="A177" s="9" t="n">
        <v>176</v>
      </c>
      <c r="B177" s="10" t="inlineStr">
        <is>
          <t>Kotli Sakia Wali</t>
        </is>
      </c>
      <c r="C177" s="10" t="inlineStr">
        <is>
          <t>ਕੋਟਲੀ ਸਾਕੇ ਵਾਲੀ</t>
        </is>
      </c>
      <c r="D177" s="17" t="inlineStr">
        <is>
          <t>Lost Both Times (Deficit)</t>
        </is>
      </c>
      <c r="E177" s="12" t="n">
        <v>140</v>
      </c>
      <c r="F177" s="13">
        <f>140/380</f>
        <v/>
      </c>
      <c r="G177" s="14" t="inlineStr">
        <is>
          <t>INC</t>
        </is>
      </c>
      <c r="H177" s="12" t="n">
        <v>128</v>
      </c>
      <c r="I177" s="13">
        <f>128/348</f>
        <v/>
      </c>
      <c r="J177" s="14" t="inlineStr">
        <is>
          <t>INC</t>
        </is>
      </c>
      <c r="K177" s="12" t="n">
        <v>-12</v>
      </c>
      <c r="L177" s="15">
        <f>I177-F177</f>
        <v/>
      </c>
      <c r="M177" s="12" t="n">
        <v>21</v>
      </c>
      <c r="N177" s="12" t="n">
        <v>348</v>
      </c>
    </row>
    <row r="178" ht="20" customHeight="1">
      <c r="A178" s="2" t="n">
        <v>177</v>
      </c>
      <c r="B178" s="3" t="inlineStr">
        <is>
          <t>Ghukewali</t>
        </is>
      </c>
      <c r="C178" s="3" t="inlineStr">
        <is>
          <t>ਘੁੱਕੇਵਾਲੀ</t>
        </is>
      </c>
      <c r="D178" s="16" t="inlineStr">
        <is>
          <t>Lost in 2024 (to SAD)</t>
        </is>
      </c>
      <c r="E178" s="5" t="n">
        <v>357</v>
      </c>
      <c r="F178" s="6">
        <f>357/923</f>
        <v/>
      </c>
      <c r="G178" s="7" t="inlineStr">
        <is>
          <t>AAP</t>
        </is>
      </c>
      <c r="H178" s="5" t="n">
        <v>201</v>
      </c>
      <c r="I178" s="6">
        <f>201/798</f>
        <v/>
      </c>
      <c r="J178" s="7" t="inlineStr">
        <is>
          <t>SAD</t>
        </is>
      </c>
      <c r="K178" s="5" t="n">
        <v>-156</v>
      </c>
      <c r="L178" s="8">
        <f>I178-F178</f>
        <v/>
      </c>
      <c r="M178" s="5" t="n">
        <v>84</v>
      </c>
      <c r="N178" s="5" t="n">
        <v>798</v>
      </c>
    </row>
    <row r="179" ht="20" customHeight="1">
      <c r="A179" s="9" t="n">
        <v>178</v>
      </c>
      <c r="B179" s="10" t="inlineStr">
        <is>
          <t>Saisara</t>
        </is>
      </c>
      <c r="C179" s="10" t="inlineStr">
        <is>
          <t>ਸੈਂਸਰਾ</t>
        </is>
      </c>
      <c r="D179" s="11" t="inlineStr">
        <is>
          <t>Won Both Times (Stronghold)</t>
        </is>
      </c>
      <c r="E179" s="12" t="n">
        <v>219</v>
      </c>
      <c r="F179" s="13">
        <f>219/589</f>
        <v/>
      </c>
      <c r="G179" s="14" t="inlineStr">
        <is>
          <t>AAP</t>
        </is>
      </c>
      <c r="H179" s="12" t="n">
        <v>148</v>
      </c>
      <c r="I179" s="13">
        <f>148/567</f>
        <v/>
      </c>
      <c r="J179" s="14" t="inlineStr">
        <is>
          <t>AAP</t>
        </is>
      </c>
      <c r="K179" s="12" t="n">
        <v>-71</v>
      </c>
      <c r="L179" s="15">
        <f>I179-F179</f>
        <v/>
      </c>
      <c r="M179" s="12" t="n">
        <v>23</v>
      </c>
      <c r="N179" s="12" t="n">
        <v>567</v>
      </c>
    </row>
    <row r="180" ht="20" customHeight="1">
      <c r="A180" s="2" t="n">
        <v>179</v>
      </c>
      <c r="B180" s="3" t="inlineStr">
        <is>
          <t>Saisara</t>
        </is>
      </c>
      <c r="C180" s="3" t="inlineStr">
        <is>
          <t>ਸੈਂਸਰਾ</t>
        </is>
      </c>
      <c r="D180" s="11" t="inlineStr">
        <is>
          <t>Won Both Times (Stronghold)</t>
        </is>
      </c>
      <c r="E180" s="5" t="n">
        <v>359</v>
      </c>
      <c r="F180" s="6">
        <f>359/789</f>
        <v/>
      </c>
      <c r="G180" s="7" t="inlineStr">
        <is>
          <t>AAP</t>
        </is>
      </c>
      <c r="H180" s="5" t="n">
        <v>250</v>
      </c>
      <c r="I180" s="6">
        <f>250/695</f>
        <v/>
      </c>
      <c r="J180" s="7" t="inlineStr">
        <is>
          <t>AAP</t>
        </is>
      </c>
      <c r="K180" s="5" t="n">
        <v>-109</v>
      </c>
      <c r="L180" s="8">
        <f>I180-F180</f>
        <v/>
      </c>
      <c r="M180" s="5" t="n">
        <v>71</v>
      </c>
      <c r="N180" s="5" t="n">
        <v>695</v>
      </c>
    </row>
    <row r="181" ht="20" customHeight="1">
      <c r="A181" s="9" t="n">
        <v>180</v>
      </c>
      <c r="B181" s="10" t="inlineStr">
        <is>
          <t>Saisara</t>
        </is>
      </c>
      <c r="C181" s="10" t="inlineStr">
        <is>
          <t>ਸੈਂਸਰਾ</t>
        </is>
      </c>
      <c r="D181" s="11" t="inlineStr">
        <is>
          <t>Won Both Times (Stronghold)</t>
        </is>
      </c>
      <c r="E181" s="12" t="n">
        <v>365</v>
      </c>
      <c r="F181" s="13">
        <f>365/834</f>
        <v/>
      </c>
      <c r="G181" s="14" t="inlineStr">
        <is>
          <t>AAP</t>
        </is>
      </c>
      <c r="H181" s="12" t="n">
        <v>360</v>
      </c>
      <c r="I181" s="13">
        <f>360/838</f>
        <v/>
      </c>
      <c r="J181" s="14" t="inlineStr">
        <is>
          <t>AAP</t>
        </is>
      </c>
      <c r="K181" s="12" t="n">
        <v>-5</v>
      </c>
      <c r="L181" s="15">
        <f>I181-F181</f>
        <v/>
      </c>
      <c r="M181" s="12" t="n">
        <v>168</v>
      </c>
      <c r="N181" s="12" t="n">
        <v>838</v>
      </c>
    </row>
    <row r="182" ht="20" customHeight="1">
      <c r="A182" s="2" t="n">
        <v>181</v>
      </c>
      <c r="B182" s="3" t="inlineStr">
        <is>
          <t>Sainsara (Patti Dauki)</t>
        </is>
      </c>
      <c r="C182" s="3" t="inlineStr">
        <is>
          <t>ਸੈਂਸਰਾ (ਪੱਤੀ ਦਾਉਕੀ)</t>
        </is>
      </c>
      <c r="D182" s="4" t="inlineStr">
        <is>
          <t>Gained in 2024 (New Win)</t>
        </is>
      </c>
      <c r="E182" s="5" t="n">
        <v>183</v>
      </c>
      <c r="F182" s="6">
        <f>183/568</f>
        <v/>
      </c>
      <c r="G182" s="7" t="inlineStr">
        <is>
          <t>INC</t>
        </is>
      </c>
      <c r="H182" s="5" t="n">
        <v>229</v>
      </c>
      <c r="I182" s="6">
        <f>229/545</f>
        <v/>
      </c>
      <c r="J182" s="7" t="inlineStr">
        <is>
          <t>AAP</t>
        </is>
      </c>
      <c r="K182" s="5" t="n">
        <v>46</v>
      </c>
      <c r="L182" s="8">
        <f>I182-F182</f>
        <v/>
      </c>
      <c r="M182" s="5" t="n">
        <v>78</v>
      </c>
      <c r="N182" s="5" t="n">
        <v>545</v>
      </c>
    </row>
    <row r="183" ht="20" customHeight="1">
      <c r="A183" s="9" t="n">
        <v>182</v>
      </c>
      <c r="B183" s="10" t="inlineStr">
        <is>
          <t>Mahila Wala</t>
        </is>
      </c>
      <c r="C183" s="10" t="inlineStr">
        <is>
          <t>ਮਹਿਲਾ ਵਾਲਾ</t>
        </is>
      </c>
      <c r="D183" s="11" t="inlineStr">
        <is>
          <t>Won Both Times (Stronghold)</t>
        </is>
      </c>
      <c r="E183" s="12" t="n">
        <v>313</v>
      </c>
      <c r="F183" s="13">
        <f>313/751</f>
        <v/>
      </c>
      <c r="G183" s="14" t="inlineStr">
        <is>
          <t>AAP</t>
        </is>
      </c>
      <c r="H183" s="12" t="n">
        <v>204</v>
      </c>
      <c r="I183" s="13">
        <f>204/646</f>
        <v/>
      </c>
      <c r="J183" s="14" t="inlineStr">
        <is>
          <t>AAP</t>
        </is>
      </c>
      <c r="K183" s="12" t="n">
        <v>-109</v>
      </c>
      <c r="L183" s="15">
        <f>I183-F183</f>
        <v/>
      </c>
      <c r="M183" s="12" t="n">
        <v>30</v>
      </c>
      <c r="N183" s="12" t="n">
        <v>646</v>
      </c>
    </row>
    <row r="184" ht="20" customHeight="1">
      <c r="A184" s="2" t="n">
        <v>183</v>
      </c>
      <c r="B184" s="3" t="inlineStr">
        <is>
          <t>Mahila Wala</t>
        </is>
      </c>
      <c r="C184" s="3" t="inlineStr">
        <is>
          <t>ਮਹਿਲਾ ਵਾਲਾ</t>
        </is>
      </c>
      <c r="D184" s="18" t="inlineStr">
        <is>
          <t>Weak Booth (&lt; 20% Share)</t>
        </is>
      </c>
      <c r="E184" s="5" t="n">
        <v>232</v>
      </c>
      <c r="F184" s="6">
        <f>232/649</f>
        <v/>
      </c>
      <c r="G184" s="7" t="inlineStr">
        <is>
          <t>SAD</t>
        </is>
      </c>
      <c r="H184" s="5" t="n">
        <v>118</v>
      </c>
      <c r="I184" s="6">
        <f>118/594</f>
        <v/>
      </c>
      <c r="J184" s="7" t="inlineStr">
        <is>
          <t>BJP</t>
        </is>
      </c>
      <c r="K184" s="5" t="n">
        <v>-114</v>
      </c>
      <c r="L184" s="8">
        <f>I184-F184</f>
        <v/>
      </c>
      <c r="M184" s="5" t="n">
        <v>74</v>
      </c>
      <c r="N184" s="5" t="n">
        <v>594</v>
      </c>
    </row>
    <row r="185" ht="20" customHeight="1">
      <c r="A185" s="9" t="n">
        <v>184</v>
      </c>
      <c r="B185" s="10" t="inlineStr">
        <is>
          <t>Bhalapind</t>
        </is>
      </c>
      <c r="C185" s="10" t="inlineStr">
        <is>
          <t>ਭਾਲਾਪਿੰਡ</t>
        </is>
      </c>
      <c r="D185" s="16" t="inlineStr">
        <is>
          <t>Lost in 2024 (to INC)</t>
        </is>
      </c>
      <c r="E185" s="12" t="n">
        <v>391</v>
      </c>
      <c r="F185" s="13">
        <f>391/795</f>
        <v/>
      </c>
      <c r="G185" s="14" t="inlineStr">
        <is>
          <t>AAP</t>
        </is>
      </c>
      <c r="H185" s="12" t="n">
        <v>155</v>
      </c>
      <c r="I185" s="13">
        <f>155/662</f>
        <v/>
      </c>
      <c r="J185" s="14" t="inlineStr">
        <is>
          <t>INC</t>
        </is>
      </c>
      <c r="K185" s="12" t="n">
        <v>-236</v>
      </c>
      <c r="L185" s="15">
        <f>I185-F185</f>
        <v/>
      </c>
      <c r="M185" s="12" t="n">
        <v>63</v>
      </c>
      <c r="N185" s="12" t="n">
        <v>662</v>
      </c>
    </row>
    <row r="186" ht="20" customHeight="1">
      <c r="A186" s="2" t="n">
        <v>185</v>
      </c>
      <c r="B186" s="3" t="inlineStr">
        <is>
          <t>Bhalapind</t>
        </is>
      </c>
      <c r="C186" s="3" t="inlineStr">
        <is>
          <t>ਭਾਲਾਪਿੰਡ</t>
        </is>
      </c>
      <c r="D186" s="16" t="inlineStr">
        <is>
          <t>Lost in 2024 (to INC)</t>
        </is>
      </c>
      <c r="E186" s="5" t="n">
        <v>280</v>
      </c>
      <c r="F186" s="6">
        <f>280/865</f>
        <v/>
      </c>
      <c r="G186" s="7" t="inlineStr">
        <is>
          <t>AAP</t>
        </is>
      </c>
      <c r="H186" s="5" t="n">
        <v>161</v>
      </c>
      <c r="I186" s="6">
        <f>161/690</f>
        <v/>
      </c>
      <c r="J186" s="7" t="inlineStr">
        <is>
          <t>INC</t>
        </is>
      </c>
      <c r="K186" s="5" t="n">
        <v>-119</v>
      </c>
      <c r="L186" s="8">
        <f>I186-F186</f>
        <v/>
      </c>
      <c r="M186" s="5" t="n">
        <v>30</v>
      </c>
      <c r="N186" s="5" t="n">
        <v>690</v>
      </c>
    </row>
    <row r="187" ht="20" customHeight="1">
      <c r="A187" s="9" t="n">
        <v>186</v>
      </c>
      <c r="B187" s="10" t="inlineStr">
        <is>
          <t>Dalam</t>
        </is>
      </c>
      <c r="C187" s="10" t="inlineStr">
        <is>
          <t>ਡੱਲਾ / ਦਾਲਮ</t>
        </is>
      </c>
      <c r="D187" s="17" t="inlineStr">
        <is>
          <t>Lost Both Times (Deficit)</t>
        </is>
      </c>
      <c r="E187" s="12" t="n">
        <v>195</v>
      </c>
      <c r="F187" s="13">
        <f>195/827</f>
        <v/>
      </c>
      <c r="G187" s="14" t="inlineStr">
        <is>
          <t>SAD</t>
        </is>
      </c>
      <c r="H187" s="12" t="n">
        <v>137</v>
      </c>
      <c r="I187" s="13">
        <f>137/629</f>
        <v/>
      </c>
      <c r="J187" s="14" t="inlineStr">
        <is>
          <t>INC</t>
        </is>
      </c>
      <c r="K187" s="12" t="n">
        <v>-58</v>
      </c>
      <c r="L187" s="15">
        <f>I187-F187</f>
        <v/>
      </c>
      <c r="M187" s="12" t="n">
        <v>86</v>
      </c>
      <c r="N187" s="12" t="n">
        <v>629</v>
      </c>
    </row>
    <row r="188" ht="20" customHeight="1">
      <c r="A188" s="2" t="n">
        <v>187</v>
      </c>
      <c r="B188" s="3" t="inlineStr">
        <is>
          <t>Dadhrai</t>
        </is>
      </c>
      <c r="C188" s="3" t="inlineStr">
        <is>
          <t>ਡਡਰਾਏ</t>
        </is>
      </c>
      <c r="D188" s="16" t="inlineStr">
        <is>
          <t>Lost in 2024 (to INC)</t>
        </is>
      </c>
      <c r="E188" s="5" t="n">
        <v>388</v>
      </c>
      <c r="F188" s="6">
        <f>388/818</f>
        <v/>
      </c>
      <c r="G188" s="7" t="inlineStr">
        <is>
          <t>AAP</t>
        </is>
      </c>
      <c r="H188" s="5" t="n">
        <v>125</v>
      </c>
      <c r="I188" s="6">
        <f>125/658</f>
        <v/>
      </c>
      <c r="J188" s="7" t="inlineStr">
        <is>
          <t>INC</t>
        </is>
      </c>
      <c r="K188" s="5" t="n">
        <v>-263</v>
      </c>
      <c r="L188" s="8">
        <f>I188-F188</f>
        <v/>
      </c>
      <c r="M188" s="5" t="n">
        <v>33</v>
      </c>
      <c r="N188" s="5" t="n">
        <v>658</v>
      </c>
    </row>
    <row r="189" ht="20" customHeight="1">
      <c r="A189" s="9" t="n">
        <v>188</v>
      </c>
      <c r="B189" s="10" t="inlineStr">
        <is>
          <t>Salempura</t>
        </is>
      </c>
      <c r="C189" s="10" t="inlineStr">
        <is>
          <t>ਸਲੇਮਪੁਰਾ</t>
        </is>
      </c>
      <c r="D189" s="18" t="inlineStr">
        <is>
          <t>Weak Booth (&lt; 20% Share)</t>
        </is>
      </c>
      <c r="E189" s="12" t="n">
        <v>133</v>
      </c>
      <c r="F189" s="13">
        <f>133/394</f>
        <v/>
      </c>
      <c r="G189" s="14" t="inlineStr">
        <is>
          <t>INC</t>
        </is>
      </c>
      <c r="H189" s="12" t="n">
        <v>67</v>
      </c>
      <c r="I189" s="13">
        <f>67/366</f>
        <v/>
      </c>
      <c r="J189" s="14" t="inlineStr">
        <is>
          <t>INC</t>
        </is>
      </c>
      <c r="K189" s="12" t="n">
        <v>-66</v>
      </c>
      <c r="L189" s="15">
        <f>I189-F189</f>
        <v/>
      </c>
      <c r="M189" s="12" t="n">
        <v>26</v>
      </c>
      <c r="N189" s="12" t="n">
        <v>366</v>
      </c>
    </row>
    <row r="190" ht="24" customHeight="1">
      <c r="A190" s="19" t="inlineStr">
        <is>
          <t>TOTAL</t>
        </is>
      </c>
      <c r="B190" s="19" t="inlineStr">
        <is>
          <t>188 Booths</t>
        </is>
      </c>
      <c r="C190" s="19" t="inlineStr">
        <is>
          <t>Constituency Total</t>
        </is>
      </c>
      <c r="D190" s="19" t="inlineStr">
        <is>
          <t>AAP Summary</t>
        </is>
      </c>
      <c r="E190" s="20">
        <f>SUM(E2:E189)</f>
        <v/>
      </c>
      <c r="F190" s="21">
        <f>E190/SUM(N2:N189)</f>
        <v/>
      </c>
      <c r="G190" s="19" t="inlineStr">
        <is>
          <t>Assembly Winner</t>
        </is>
      </c>
      <c r="H190" s="20">
        <f>SUM(H2:H189)</f>
        <v/>
      </c>
      <c r="I190" s="21">
        <f>H190/SUM(N2:N189)</f>
        <v/>
      </c>
      <c r="J190" s="19" t="inlineStr">
        <is>
          <t>Lok Sabha Segment</t>
        </is>
      </c>
      <c r="K190" s="20">
        <f>H190-E190</f>
        <v/>
      </c>
      <c r="L190" s="22">
        <f>I190-F190</f>
        <v/>
      </c>
      <c r="M190" s="20">
        <f>SUM(M2:M189)</f>
        <v/>
      </c>
      <c r="N190" s="20">
        <f>SUM(N2:N189)</f>
        <v/>
      </c>
    </row>
  </sheetData>
  <pageMargins left="0.6" right="0.6" top="0.75" bottom="0.7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9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30" customWidth="1" min="2" max="2"/>
    <col width="30" customWidth="1" min="3" max="3"/>
    <col width="28" customWidth="1" min="4" max="4"/>
    <col width="17" customWidth="1" min="5" max="5"/>
    <col width="21" customWidth="1" min="6" max="6"/>
    <col width="18" customWidth="1" min="7" max="7"/>
    <col width="17" customWidth="1" min="8" max="8"/>
    <col width="21" customWidth="1" min="9" max="9"/>
    <col width="20" customWidth="1" min="10" max="10"/>
    <col width="14" customWidth="1" min="11" max="11"/>
    <col width="14" customWidth="1" min="12" max="12"/>
    <col width="16" customWidth="1" min="13" max="13"/>
    <col width="20" customWidth="1" min="14" max="14"/>
  </cols>
  <sheetData>
    <row r="1" ht="28" customHeight="1">
      <c r="A1" s="23" t="inlineStr">
        <is>
          <t>Booth No</t>
        </is>
      </c>
      <c r="B1" s="23" t="inlineStr">
        <is>
          <t>Village / Polling Station (English)</t>
        </is>
      </c>
      <c r="C1" s="23" t="inlineStr">
        <is>
          <t>Village Name (Punjabi)</t>
        </is>
      </c>
      <c r="D1" s="23" t="inlineStr">
        <is>
          <t>INC Status Category</t>
        </is>
      </c>
      <c r="E1" s="23" t="inlineStr">
        <is>
          <t>2022 INC Votes</t>
        </is>
      </c>
      <c r="F1" s="23" t="inlineStr">
        <is>
          <t>2022 INC %</t>
        </is>
      </c>
      <c r="G1" s="23" t="inlineStr">
        <is>
          <t>2022 Winner</t>
        </is>
      </c>
      <c r="H1" s="23" t="inlineStr">
        <is>
          <t>2024 INC Votes</t>
        </is>
      </c>
      <c r="I1" s="23" t="inlineStr">
        <is>
          <t>2024 INC %</t>
        </is>
      </c>
      <c r="J1" s="23" t="inlineStr">
        <is>
          <t>2024 Winner</t>
        </is>
      </c>
      <c r="K1" s="23" t="inlineStr">
        <is>
          <t>Vote Shift (+/-)</t>
        </is>
      </c>
      <c r="L1" s="23" t="inlineStr">
        <is>
          <t>Swing % (+/-)</t>
        </is>
      </c>
      <c r="M1" s="23" t="inlineStr">
        <is>
          <t>2024 Margin</t>
        </is>
      </c>
      <c r="N1" s="23" t="inlineStr">
        <is>
          <t>2024 Total Polled</t>
        </is>
      </c>
    </row>
    <row r="2" ht="20" customHeight="1">
      <c r="A2" s="2" t="n">
        <v>1</v>
      </c>
      <c r="B2" s="3" t="inlineStr">
        <is>
          <t>Ghonewahla</t>
        </is>
      </c>
      <c r="C2" s="3" t="inlineStr">
        <is>
          <t>ਘੋਣੇਵਾਲਾ</t>
        </is>
      </c>
      <c r="D2" s="16" t="inlineStr">
        <is>
          <t>Lost in 2024 (to AAP)</t>
        </is>
      </c>
      <c r="E2" s="5" t="n">
        <v>300</v>
      </c>
      <c r="F2" s="6">
        <f>300/787</f>
        <v/>
      </c>
      <c r="G2" s="7" t="inlineStr">
        <is>
          <t>INC</t>
        </is>
      </c>
      <c r="H2" s="5" t="n">
        <v>191</v>
      </c>
      <c r="I2" s="6">
        <f>191/700</f>
        <v/>
      </c>
      <c r="J2" s="7" t="inlineStr">
        <is>
          <t>AAP</t>
        </is>
      </c>
      <c r="K2" s="5" t="n">
        <v>-109</v>
      </c>
      <c r="L2" s="8">
        <f>I2-F2</f>
        <v/>
      </c>
      <c r="M2" s="5" t="n">
        <v>135</v>
      </c>
      <c r="N2" s="5" t="n">
        <v>700</v>
      </c>
    </row>
    <row r="3" ht="20" customHeight="1">
      <c r="A3" s="9" t="n">
        <v>2</v>
      </c>
      <c r="B3" s="10" t="inlineStr">
        <is>
          <t>Machhi Wahla</t>
        </is>
      </c>
      <c r="C3" s="10" t="inlineStr">
        <is>
          <t>ਮੱਛੀਵਾਲਾ</t>
        </is>
      </c>
      <c r="D3" s="17" t="inlineStr">
        <is>
          <t>Lost Both Times (Deficit)</t>
        </is>
      </c>
      <c r="E3" s="12" t="n">
        <v>200</v>
      </c>
      <c r="F3" s="13">
        <f>200/649</f>
        <v/>
      </c>
      <c r="G3" s="14" t="inlineStr">
        <is>
          <t>AAP</t>
        </is>
      </c>
      <c r="H3" s="12" t="n">
        <v>208</v>
      </c>
      <c r="I3" s="13">
        <f>208/590</f>
        <v/>
      </c>
      <c r="J3" s="14" t="inlineStr">
        <is>
          <t>AAP</t>
        </is>
      </c>
      <c r="K3" s="12" t="n">
        <v>8</v>
      </c>
      <c r="L3" s="15">
        <f>I3-F3</f>
        <v/>
      </c>
      <c r="M3" s="12" t="n">
        <v>23</v>
      </c>
      <c r="N3" s="12" t="n">
        <v>590</v>
      </c>
    </row>
    <row r="4" ht="20" customHeight="1">
      <c r="A4" s="2" t="n">
        <v>3</v>
      </c>
      <c r="B4" s="3" t="inlineStr">
        <is>
          <t>Kot Gurbaksh</t>
        </is>
      </c>
      <c r="C4" s="3" t="inlineStr">
        <is>
          <t>ਕੋਟ ਗੁਰਬਖ਼ਸ਼</t>
        </is>
      </c>
      <c r="D4" s="18" t="inlineStr">
        <is>
          <t>Weak Booth (&lt; 20% Share)</t>
        </is>
      </c>
      <c r="E4" s="5" t="n">
        <v>118</v>
      </c>
      <c r="F4" s="6">
        <f>118/459</f>
        <v/>
      </c>
      <c r="G4" s="7" t="inlineStr">
        <is>
          <t>SAD</t>
        </is>
      </c>
      <c r="H4" s="5" t="n">
        <v>79</v>
      </c>
      <c r="I4" s="6">
        <f>79/425</f>
        <v/>
      </c>
      <c r="J4" s="7" t="inlineStr">
        <is>
          <t>AAP</t>
        </is>
      </c>
      <c r="K4" s="5" t="n">
        <v>-39</v>
      </c>
      <c r="L4" s="8">
        <f>I4-F4</f>
        <v/>
      </c>
      <c r="M4" s="5" t="n">
        <v>70</v>
      </c>
      <c r="N4" s="5" t="n">
        <v>425</v>
      </c>
    </row>
    <row r="5" ht="20" customHeight="1">
      <c r="A5" s="9" t="n">
        <v>4</v>
      </c>
      <c r="B5" s="10" t="inlineStr">
        <is>
          <t>Jatta</t>
        </is>
      </c>
      <c r="C5" s="10" t="inlineStr">
        <is>
          <t>ਜੱਟਾ</t>
        </is>
      </c>
      <c r="D5" s="18" t="inlineStr">
        <is>
          <t>Weak Booth (&lt; 20% Share)</t>
        </is>
      </c>
      <c r="E5" s="12" t="n">
        <v>84</v>
      </c>
      <c r="F5" s="13">
        <f>84/591</f>
        <v/>
      </c>
      <c r="G5" s="14" t="inlineStr">
        <is>
          <t>AAP</t>
        </is>
      </c>
      <c r="H5" s="12" t="n">
        <v>67</v>
      </c>
      <c r="I5" s="13">
        <f>67/452</f>
        <v/>
      </c>
      <c r="J5" s="14" t="inlineStr">
        <is>
          <t>AAP</t>
        </is>
      </c>
      <c r="K5" s="12" t="n">
        <v>-17</v>
      </c>
      <c r="L5" s="15">
        <f>I5-F5</f>
        <v/>
      </c>
      <c r="M5" s="12" t="n">
        <v>43</v>
      </c>
      <c r="N5" s="12" t="n">
        <v>452</v>
      </c>
    </row>
    <row r="6" ht="20" customHeight="1">
      <c r="A6" s="2" t="n">
        <v>5</v>
      </c>
      <c r="B6" s="3" t="inlineStr">
        <is>
          <t>Shahijada</t>
        </is>
      </c>
      <c r="C6" s="3" t="inlineStr">
        <is>
          <t>ਸ਼ਾਹਜ਼ਾਦਾ</t>
        </is>
      </c>
      <c r="D6" s="17" t="inlineStr">
        <is>
          <t>Lost Both Times (Deficit)</t>
        </is>
      </c>
      <c r="E6" s="5" t="n">
        <v>69</v>
      </c>
      <c r="F6" s="6">
        <f>69/322</f>
        <v/>
      </c>
      <c r="G6" s="7" t="inlineStr">
        <is>
          <t>AAP</t>
        </is>
      </c>
      <c r="H6" s="5" t="n">
        <v>69</v>
      </c>
      <c r="I6" s="6">
        <f>69/306</f>
        <v/>
      </c>
      <c r="J6" s="7" t="inlineStr">
        <is>
          <t>AAP</t>
        </is>
      </c>
      <c r="K6" s="5" t="n">
        <v>0</v>
      </c>
      <c r="L6" s="8">
        <f>I6-F6</f>
        <v/>
      </c>
      <c r="M6" s="5" t="n">
        <v>52</v>
      </c>
      <c r="N6" s="5" t="n">
        <v>306</v>
      </c>
    </row>
    <row r="7" ht="20" customHeight="1">
      <c r="A7" s="9" t="n">
        <v>6</v>
      </c>
      <c r="B7" s="10" t="inlineStr">
        <is>
          <t>Pashiyaan</t>
        </is>
      </c>
      <c r="C7" s="10" t="inlineStr">
        <is>
          <t>ਪਾਸ਼ੀਆ</t>
        </is>
      </c>
      <c r="D7" s="16" t="inlineStr">
        <is>
          <t>Lost in 2024 (to AAP)</t>
        </is>
      </c>
      <c r="E7" s="12" t="n">
        <v>235</v>
      </c>
      <c r="F7" s="13">
        <f>235/562</f>
        <v/>
      </c>
      <c r="G7" s="14" t="inlineStr">
        <is>
          <t>INC</t>
        </is>
      </c>
      <c r="H7" s="12" t="n">
        <v>157</v>
      </c>
      <c r="I7" s="13">
        <f>157/537</f>
        <v/>
      </c>
      <c r="J7" s="14" t="inlineStr">
        <is>
          <t>AAP</t>
        </is>
      </c>
      <c r="K7" s="12" t="n">
        <v>-78</v>
      </c>
      <c r="L7" s="15">
        <f>I7-F7</f>
        <v/>
      </c>
      <c r="M7" s="12" t="n">
        <v>106</v>
      </c>
      <c r="N7" s="12" t="n">
        <v>537</v>
      </c>
    </row>
    <row r="8" ht="20" customHeight="1">
      <c r="A8" s="2" t="n">
        <v>7</v>
      </c>
      <c r="B8" s="3" t="inlineStr">
        <is>
          <t>Nisoke</t>
        </is>
      </c>
      <c r="C8" s="3" t="inlineStr">
        <is>
          <t>ਨਿਸੋਕੇ</t>
        </is>
      </c>
      <c r="D8" s="18" t="inlineStr">
        <is>
          <t>Weak Booth (&lt; 20% Share)</t>
        </is>
      </c>
      <c r="E8" s="5" t="n">
        <v>88</v>
      </c>
      <c r="F8" s="6">
        <f>88/302</f>
        <v/>
      </c>
      <c r="G8" s="7" t="inlineStr">
        <is>
          <t>AAP</t>
        </is>
      </c>
      <c r="H8" s="5" t="n">
        <v>38</v>
      </c>
      <c r="I8" s="6">
        <f>38/307</f>
        <v/>
      </c>
      <c r="J8" s="7" t="inlineStr">
        <is>
          <t>AAP</t>
        </is>
      </c>
      <c r="K8" s="5" t="n">
        <v>-50</v>
      </c>
      <c r="L8" s="8">
        <f>I8-F8</f>
        <v/>
      </c>
      <c r="M8" s="5" t="n">
        <v>116</v>
      </c>
      <c r="N8" s="5" t="n">
        <v>307</v>
      </c>
    </row>
    <row r="9" ht="20" customHeight="1">
      <c r="A9" s="9" t="n">
        <v>8</v>
      </c>
      <c r="B9" s="10" t="inlineStr">
        <is>
          <t>Pandori</t>
        </is>
      </c>
      <c r="C9" s="10" t="inlineStr">
        <is>
          <t>ਪੰਡੋਰੀ</t>
        </is>
      </c>
      <c r="D9" s="18" t="inlineStr">
        <is>
          <t>Weak Booth (&lt; 20% Share)</t>
        </is>
      </c>
      <c r="E9" s="12" t="n">
        <v>9</v>
      </c>
      <c r="F9" s="13">
        <f>9/261</f>
        <v/>
      </c>
      <c r="G9" s="14" t="inlineStr">
        <is>
          <t>AAP</t>
        </is>
      </c>
      <c r="H9" s="12" t="n">
        <v>33</v>
      </c>
      <c r="I9" s="13">
        <f>33/270</f>
        <v/>
      </c>
      <c r="J9" s="14" t="inlineStr">
        <is>
          <t>AAP</t>
        </is>
      </c>
      <c r="K9" s="12" t="n">
        <v>24</v>
      </c>
      <c r="L9" s="15">
        <f>I9-F9</f>
        <v/>
      </c>
      <c r="M9" s="12" t="n">
        <v>163</v>
      </c>
      <c r="N9" s="12" t="n">
        <v>270</v>
      </c>
    </row>
    <row r="10" ht="20" customHeight="1">
      <c r="A10" s="2" t="n">
        <v>9</v>
      </c>
      <c r="B10" s="3" t="inlineStr">
        <is>
          <t>Mahimad Mandra Wala</t>
        </is>
      </c>
      <c r="C10" s="3" t="inlineStr">
        <is>
          <t>ਮਹਿਮਦ ਮਾਂਦਰਾ ਵਾਲਾ</t>
        </is>
      </c>
      <c r="D10" s="17" t="inlineStr">
        <is>
          <t>Lost Both Times (Deficit)</t>
        </is>
      </c>
      <c r="E10" s="5" t="n">
        <v>226</v>
      </c>
      <c r="F10" s="6">
        <f>226/793</f>
        <v/>
      </c>
      <c r="G10" s="7" t="inlineStr">
        <is>
          <t>AAP</t>
        </is>
      </c>
      <c r="H10" s="5" t="n">
        <v>166</v>
      </c>
      <c r="I10" s="6">
        <f>166/758</f>
        <v/>
      </c>
      <c r="J10" s="7" t="inlineStr">
        <is>
          <t>AAP</t>
        </is>
      </c>
      <c r="K10" s="5" t="n">
        <v>-60</v>
      </c>
      <c r="L10" s="8">
        <f>I10-F10</f>
        <v/>
      </c>
      <c r="M10" s="5" t="n">
        <v>136</v>
      </c>
      <c r="N10" s="5" t="n">
        <v>758</v>
      </c>
    </row>
    <row r="11" ht="20" customHeight="1">
      <c r="A11" s="9" t="n">
        <v>10</v>
      </c>
      <c r="B11" s="10" t="inlineStr">
        <is>
          <t>Mehmad Mandaran Wala</t>
        </is>
      </c>
      <c r="C11" s="10" t="inlineStr">
        <is>
          <t>ਮਹਿਮਦ ਮੰਦਰਾਂ ਵਾਲਾ</t>
        </is>
      </c>
      <c r="D11" s="17" t="inlineStr">
        <is>
          <t>Lost Both Times (Deficit)</t>
        </is>
      </c>
      <c r="E11" s="12" t="n">
        <v>90</v>
      </c>
      <c r="F11" s="13">
        <f>90/316</f>
        <v/>
      </c>
      <c r="G11" s="14" t="inlineStr">
        <is>
          <t>SAD</t>
        </is>
      </c>
      <c r="H11" s="12" t="n">
        <v>68</v>
      </c>
      <c r="I11" s="13">
        <f>68/293</f>
        <v/>
      </c>
      <c r="J11" s="14" t="inlineStr">
        <is>
          <t>AAP</t>
        </is>
      </c>
      <c r="K11" s="12" t="n">
        <v>-22</v>
      </c>
      <c r="L11" s="15">
        <f>I11-F11</f>
        <v/>
      </c>
      <c r="M11" s="12" t="n">
        <v>19</v>
      </c>
      <c r="N11" s="12" t="n">
        <v>293</v>
      </c>
    </row>
    <row r="12" ht="20" customHeight="1">
      <c r="A12" s="2" t="n">
        <v>11</v>
      </c>
      <c r="B12" s="3" t="inlineStr">
        <is>
          <t>Singhoke</t>
        </is>
      </c>
      <c r="C12" s="3" t="inlineStr">
        <is>
          <t>ਸਿੰਘੋਕੇ</t>
        </is>
      </c>
      <c r="D12" s="17" t="inlineStr">
        <is>
          <t>Lost Both Times (Deficit)</t>
        </is>
      </c>
      <c r="E12" s="5" t="n">
        <v>67</v>
      </c>
      <c r="F12" s="6">
        <f>67/431</f>
        <v/>
      </c>
      <c r="G12" s="7" t="inlineStr">
        <is>
          <t>AAP</t>
        </is>
      </c>
      <c r="H12" s="5" t="n">
        <v>96</v>
      </c>
      <c r="I12" s="6">
        <f>96/337</f>
        <v/>
      </c>
      <c r="J12" s="7" t="inlineStr">
        <is>
          <t>SAD</t>
        </is>
      </c>
      <c r="K12" s="5" t="n">
        <v>29</v>
      </c>
      <c r="L12" s="8">
        <f>I12-F12</f>
        <v/>
      </c>
      <c r="M12" s="5" t="n">
        <v>24</v>
      </c>
      <c r="N12" s="5" t="n">
        <v>337</v>
      </c>
    </row>
    <row r="13" ht="20" customHeight="1">
      <c r="A13" s="9" t="n">
        <v>12</v>
      </c>
      <c r="B13" s="10" t="inlineStr">
        <is>
          <t>Ghumrai</t>
        </is>
      </c>
      <c r="C13" s="10" t="inlineStr">
        <is>
          <t>ਘੁਮਰਾਈ</t>
        </is>
      </c>
      <c r="D13" s="4" t="inlineStr">
        <is>
          <t>Gained in 2024 (New Win)</t>
        </is>
      </c>
      <c r="E13" s="12" t="n">
        <v>178</v>
      </c>
      <c r="F13" s="13">
        <f>178/562</f>
        <v/>
      </c>
      <c r="G13" s="14" t="inlineStr">
        <is>
          <t>SAD</t>
        </is>
      </c>
      <c r="H13" s="12" t="n">
        <v>134</v>
      </c>
      <c r="I13" s="13">
        <f>134/499</f>
        <v/>
      </c>
      <c r="J13" s="14" t="inlineStr">
        <is>
          <t>INC</t>
        </is>
      </c>
      <c r="K13" s="12" t="n">
        <v>-44</v>
      </c>
      <c r="L13" s="15">
        <f>I13-F13</f>
        <v/>
      </c>
      <c r="M13" s="12" t="n">
        <v>7</v>
      </c>
      <c r="N13" s="12" t="n">
        <v>499</v>
      </c>
    </row>
    <row r="14" ht="20" customHeight="1">
      <c r="A14" s="2" t="n">
        <v>13</v>
      </c>
      <c r="B14" s="3" t="inlineStr">
        <is>
          <t>Nangal Sohal</t>
        </is>
      </c>
      <c r="C14" s="3" t="inlineStr">
        <is>
          <t>ਨੰਗਲ ਸੋਹਲ</t>
        </is>
      </c>
      <c r="D14" s="17" t="inlineStr">
        <is>
          <t>Lost Both Times (Deficit)</t>
        </is>
      </c>
      <c r="E14" s="5" t="n">
        <v>182</v>
      </c>
      <c r="F14" s="6">
        <f>182/709</f>
        <v/>
      </c>
      <c r="G14" s="7" t="inlineStr">
        <is>
          <t>AAP</t>
        </is>
      </c>
      <c r="H14" s="5" t="n">
        <v>149</v>
      </c>
      <c r="I14" s="6">
        <f>149/572</f>
        <v/>
      </c>
      <c r="J14" s="7" t="inlineStr">
        <is>
          <t>AAP</t>
        </is>
      </c>
      <c r="K14" s="5" t="n">
        <v>-33</v>
      </c>
      <c r="L14" s="8">
        <f>I14-F14</f>
        <v/>
      </c>
      <c r="M14" s="5" t="n">
        <v>40</v>
      </c>
      <c r="N14" s="5" t="n">
        <v>572</v>
      </c>
    </row>
    <row r="15" ht="20" customHeight="1">
      <c r="A15" s="9" t="n">
        <v>14</v>
      </c>
      <c r="B15" s="10" t="inlineStr">
        <is>
          <t>Dariya Musa</t>
        </is>
      </c>
      <c r="C15" s="10" t="inlineStr">
        <is>
          <t>ਦਰਿਆ ਮੂਸਾ</t>
        </is>
      </c>
      <c r="D15" s="18" t="inlineStr">
        <is>
          <t>Weak Booth (&lt; 20% Share)</t>
        </is>
      </c>
      <c r="E15" s="12" t="n">
        <v>126</v>
      </c>
      <c r="F15" s="13">
        <f>126/492</f>
        <v/>
      </c>
      <c r="G15" s="14" t="inlineStr">
        <is>
          <t>AAP</t>
        </is>
      </c>
      <c r="H15" s="12" t="n">
        <v>63</v>
      </c>
      <c r="I15" s="13">
        <f>63/412</f>
        <v/>
      </c>
      <c r="J15" s="14" t="inlineStr">
        <is>
          <t>AAP</t>
        </is>
      </c>
      <c r="K15" s="12" t="n">
        <v>-63</v>
      </c>
      <c r="L15" s="15">
        <f>I15-F15</f>
        <v/>
      </c>
      <c r="M15" s="12" t="n">
        <v>200</v>
      </c>
      <c r="N15" s="12" t="n">
        <v>412</v>
      </c>
    </row>
    <row r="16" ht="20" customHeight="1">
      <c r="A16" s="2" t="n">
        <v>15</v>
      </c>
      <c r="B16" s="3" t="inlineStr">
        <is>
          <t>Katle</t>
        </is>
      </c>
      <c r="C16" s="3" t="inlineStr">
        <is>
          <t>ਕਤਲੇ</t>
        </is>
      </c>
      <c r="D16" s="11" t="inlineStr">
        <is>
          <t>Won Both Times (Stronghold)</t>
        </is>
      </c>
      <c r="E16" s="5" t="n">
        <v>213</v>
      </c>
      <c r="F16" s="6">
        <f>213/558</f>
        <v/>
      </c>
      <c r="G16" s="7" t="inlineStr">
        <is>
          <t>INC</t>
        </is>
      </c>
      <c r="H16" s="5" t="n">
        <v>209</v>
      </c>
      <c r="I16" s="6">
        <f>209/466</f>
        <v/>
      </c>
      <c r="J16" s="7" t="inlineStr">
        <is>
          <t>INC</t>
        </is>
      </c>
      <c r="K16" s="5" t="n">
        <v>-4</v>
      </c>
      <c r="L16" s="8">
        <f>I16-F16</f>
        <v/>
      </c>
      <c r="M16" s="5" t="n">
        <v>111</v>
      </c>
      <c r="N16" s="5" t="n">
        <v>466</v>
      </c>
    </row>
    <row r="17" ht="20" customHeight="1">
      <c r="A17" s="9" t="n">
        <v>16</v>
      </c>
      <c r="B17" s="10" t="inlineStr">
        <is>
          <t>Ramdas (Ward 1)</t>
        </is>
      </c>
      <c r="C17" s="10" t="inlineStr">
        <is>
          <t>ਰਾਮਦਾਸ (ਵਾਰਡ 1)</t>
        </is>
      </c>
      <c r="D17" s="17" t="inlineStr">
        <is>
          <t>Lost Both Times (Deficit)</t>
        </is>
      </c>
      <c r="E17" s="12" t="n">
        <v>134</v>
      </c>
      <c r="F17" s="13">
        <f>134/704</f>
        <v/>
      </c>
      <c r="G17" s="14" t="inlineStr">
        <is>
          <t>AAP</t>
        </is>
      </c>
      <c r="H17" s="12" t="n">
        <v>135</v>
      </c>
      <c r="I17" s="13">
        <f>135/615</f>
        <v/>
      </c>
      <c r="J17" s="14" t="inlineStr">
        <is>
          <t>BJP</t>
        </is>
      </c>
      <c r="K17" s="12" t="n">
        <v>1</v>
      </c>
      <c r="L17" s="15">
        <f>I17-F17</f>
        <v/>
      </c>
      <c r="M17" s="12" t="n">
        <v>12</v>
      </c>
      <c r="N17" s="12" t="n">
        <v>615</v>
      </c>
    </row>
    <row r="18" ht="20" customHeight="1">
      <c r="A18" s="2" t="n">
        <v>17</v>
      </c>
      <c r="B18" s="3" t="inlineStr">
        <is>
          <t>Ramdas (Ward 2)</t>
        </is>
      </c>
      <c r="C18" s="3" t="inlineStr">
        <is>
          <t>ਰਾਮਦਾਸ (ਵਾਰਡ 2)</t>
        </is>
      </c>
      <c r="D18" s="17" t="inlineStr">
        <is>
          <t>Lost Both Times (Deficit)</t>
        </is>
      </c>
      <c r="E18" s="5" t="n">
        <v>208</v>
      </c>
      <c r="F18" s="6">
        <f>208/819</f>
        <v/>
      </c>
      <c r="G18" s="7" t="inlineStr">
        <is>
          <t>AAP</t>
        </is>
      </c>
      <c r="H18" s="5" t="n">
        <v>163</v>
      </c>
      <c r="I18" s="6">
        <f>163/670</f>
        <v/>
      </c>
      <c r="J18" s="7" t="inlineStr">
        <is>
          <t>AAP</t>
        </is>
      </c>
      <c r="K18" s="5" t="n">
        <v>-45</v>
      </c>
      <c r="L18" s="8">
        <f>I18-F18</f>
        <v/>
      </c>
      <c r="M18" s="5" t="n">
        <v>43</v>
      </c>
      <c r="N18" s="5" t="n">
        <v>670</v>
      </c>
    </row>
    <row r="19" ht="20" customHeight="1">
      <c r="A19" s="9" t="n">
        <v>18</v>
      </c>
      <c r="B19" s="10" t="inlineStr">
        <is>
          <t>Ramdas (Ward 3)</t>
        </is>
      </c>
      <c r="C19" s="10" t="inlineStr">
        <is>
          <t>ਰਾਮਦਾਸ (ਵਾਰਡ 3)</t>
        </is>
      </c>
      <c r="D19" s="17" t="inlineStr">
        <is>
          <t>Lost Both Times (Deficit)</t>
        </is>
      </c>
      <c r="E19" s="12" t="n">
        <v>158</v>
      </c>
      <c r="F19" s="13">
        <f>158/773</f>
        <v/>
      </c>
      <c r="G19" s="14" t="inlineStr">
        <is>
          <t>AAP</t>
        </is>
      </c>
      <c r="H19" s="12" t="n">
        <v>157</v>
      </c>
      <c r="I19" s="13">
        <f>157/685</f>
        <v/>
      </c>
      <c r="J19" s="14" t="inlineStr">
        <is>
          <t>AAP</t>
        </is>
      </c>
      <c r="K19" s="12" t="n">
        <v>-1</v>
      </c>
      <c r="L19" s="15">
        <f>I19-F19</f>
        <v/>
      </c>
      <c r="M19" s="12" t="n">
        <v>59</v>
      </c>
      <c r="N19" s="12" t="n">
        <v>685</v>
      </c>
    </row>
    <row r="20" ht="20" customHeight="1">
      <c r="A20" s="2" t="n">
        <v>19</v>
      </c>
      <c r="B20" s="3" t="inlineStr">
        <is>
          <t>Ramdas (Ward 4)</t>
        </is>
      </c>
      <c r="C20" s="3" t="inlineStr">
        <is>
          <t>ਰਾਮਦਾਸ (ਵਾਰਡ 4)</t>
        </is>
      </c>
      <c r="D20" s="4" t="inlineStr">
        <is>
          <t>Gained in 2024 (New Win)</t>
        </is>
      </c>
      <c r="E20" s="5" t="n">
        <v>154</v>
      </c>
      <c r="F20" s="6">
        <f>154/803</f>
        <v/>
      </c>
      <c r="G20" s="7" t="inlineStr">
        <is>
          <t>AAP</t>
        </is>
      </c>
      <c r="H20" s="5" t="n">
        <v>193</v>
      </c>
      <c r="I20" s="6">
        <f>193/647</f>
        <v/>
      </c>
      <c r="J20" s="7" t="inlineStr">
        <is>
          <t>INC</t>
        </is>
      </c>
      <c r="K20" s="5" t="n">
        <v>39</v>
      </c>
      <c r="L20" s="8">
        <f>I20-F20</f>
        <v/>
      </c>
      <c r="M20" s="5" t="n">
        <v>12</v>
      </c>
      <c r="N20" s="5" t="n">
        <v>647</v>
      </c>
    </row>
    <row r="21" ht="20" customHeight="1">
      <c r="A21" s="9" t="n">
        <v>20</v>
      </c>
      <c r="B21" s="10" t="inlineStr">
        <is>
          <t>Ramdas (Bauli)</t>
        </is>
      </c>
      <c r="C21" s="10" t="inlineStr">
        <is>
          <t>ਰਾਮਦਾਸ (ਬਾਉਲੀ)</t>
        </is>
      </c>
      <c r="D21" s="16" t="inlineStr">
        <is>
          <t>Lost in 2024 (to AAP)</t>
        </is>
      </c>
      <c r="E21" s="12" t="n">
        <v>198</v>
      </c>
      <c r="F21" s="13">
        <f>198/508</f>
        <v/>
      </c>
      <c r="G21" s="14" t="inlineStr">
        <is>
          <t>INC</t>
        </is>
      </c>
      <c r="H21" s="12" t="n">
        <v>131</v>
      </c>
      <c r="I21" s="13">
        <f>131/448</f>
        <v/>
      </c>
      <c r="J21" s="14" t="inlineStr">
        <is>
          <t>AAP</t>
        </is>
      </c>
      <c r="K21" s="12" t="n">
        <v>-67</v>
      </c>
      <c r="L21" s="15">
        <f>I21-F21</f>
        <v/>
      </c>
      <c r="M21" s="12" t="n">
        <v>15</v>
      </c>
      <c r="N21" s="12" t="n">
        <v>448</v>
      </c>
    </row>
    <row r="22" ht="20" customHeight="1">
      <c r="A22" s="2" t="n">
        <v>21</v>
      </c>
      <c r="B22" s="3" t="inlineStr">
        <is>
          <t>Araya</t>
        </is>
      </c>
      <c r="C22" s="3" t="inlineStr">
        <is>
          <t>ਅਰਾਇਆਂ</t>
        </is>
      </c>
      <c r="D22" s="11" t="inlineStr">
        <is>
          <t>Won Both Times (Stronghold)</t>
        </is>
      </c>
      <c r="E22" s="5" t="n">
        <v>138</v>
      </c>
      <c r="F22" s="6">
        <f>138/341</f>
        <v/>
      </c>
      <c r="G22" s="7" t="inlineStr">
        <is>
          <t>INC</t>
        </is>
      </c>
      <c r="H22" s="5" t="n">
        <v>122</v>
      </c>
      <c r="I22" s="6">
        <f>122/329</f>
        <v/>
      </c>
      <c r="J22" s="7" t="inlineStr">
        <is>
          <t>INC</t>
        </is>
      </c>
      <c r="K22" s="5" t="n">
        <v>-16</v>
      </c>
      <c r="L22" s="8">
        <f>I22-F22</f>
        <v/>
      </c>
      <c r="M22" s="5" t="n">
        <v>2</v>
      </c>
      <c r="N22" s="5" t="n">
        <v>329</v>
      </c>
    </row>
    <row r="23" ht="20" customHeight="1">
      <c r="A23" s="9" t="n">
        <v>22</v>
      </c>
      <c r="B23" s="10" t="inlineStr">
        <is>
          <t>Awaan (Near Ramdas)</t>
        </is>
      </c>
      <c r="C23" s="10" t="inlineStr">
        <is>
          <t>ਅਵਾਨ (ਨੇੜੇ ਰਾਮਦਾਸ)</t>
        </is>
      </c>
      <c r="D23" s="18" t="inlineStr">
        <is>
          <t>Weak Booth (&lt; 20% Share)</t>
        </is>
      </c>
      <c r="E23" s="12" t="n">
        <v>116</v>
      </c>
      <c r="F23" s="13">
        <f>116/935</f>
        <v/>
      </c>
      <c r="G23" s="14" t="inlineStr">
        <is>
          <t>AAP</t>
        </is>
      </c>
      <c r="H23" s="12" t="n">
        <v>110</v>
      </c>
      <c r="I23" s="13">
        <f>110/755</f>
        <v/>
      </c>
      <c r="J23" s="14" t="inlineStr">
        <is>
          <t>AAP</t>
        </is>
      </c>
      <c r="K23" s="12" t="n">
        <v>-6</v>
      </c>
      <c r="L23" s="15">
        <f>I23-F23</f>
        <v/>
      </c>
      <c r="M23" s="12" t="n">
        <v>128</v>
      </c>
      <c r="N23" s="12" t="n">
        <v>755</v>
      </c>
    </row>
    <row r="24" ht="20" customHeight="1">
      <c r="A24" s="2" t="n">
        <v>23</v>
      </c>
      <c r="B24" s="3" t="inlineStr">
        <is>
          <t>Awaan (Near Ramdas)</t>
        </is>
      </c>
      <c r="C24" s="3" t="inlineStr">
        <is>
          <t>ਅਵਾਨ (ਨੇੜੇ ਰਾਮਦਾਸ)</t>
        </is>
      </c>
      <c r="D24" s="18" t="inlineStr">
        <is>
          <t>Weak Booth (&lt; 20% Share)</t>
        </is>
      </c>
      <c r="E24" s="5" t="n">
        <v>173</v>
      </c>
      <c r="F24" s="6">
        <f>173/768</f>
        <v/>
      </c>
      <c r="G24" s="7" t="inlineStr">
        <is>
          <t>AAP</t>
        </is>
      </c>
      <c r="H24" s="5" t="n">
        <v>106</v>
      </c>
      <c r="I24" s="6">
        <f>106/616</f>
        <v/>
      </c>
      <c r="J24" s="7" t="inlineStr">
        <is>
          <t>AAP</t>
        </is>
      </c>
      <c r="K24" s="5" t="n">
        <v>-67</v>
      </c>
      <c r="L24" s="8">
        <f>I24-F24</f>
        <v/>
      </c>
      <c r="M24" s="5" t="n">
        <v>157</v>
      </c>
      <c r="N24" s="5" t="n">
        <v>616</v>
      </c>
    </row>
    <row r="25" ht="20" customHeight="1">
      <c r="A25" s="9" t="n">
        <v>24</v>
      </c>
      <c r="B25" s="10" t="inlineStr">
        <is>
          <t>Pairewal</t>
        </is>
      </c>
      <c r="C25" s="10" t="inlineStr">
        <is>
          <t>ਪੈਰੇਵਾਲ</t>
        </is>
      </c>
      <c r="D25" s="16" t="inlineStr">
        <is>
          <t>Lost in 2024 (to AAP)</t>
        </is>
      </c>
      <c r="E25" s="12" t="n">
        <v>194</v>
      </c>
      <c r="F25" s="13">
        <f>194/524</f>
        <v/>
      </c>
      <c r="G25" s="14" t="inlineStr">
        <is>
          <t>INC</t>
        </is>
      </c>
      <c r="H25" s="12" t="n">
        <v>41</v>
      </c>
      <c r="I25" s="13">
        <f>41/472</f>
        <v/>
      </c>
      <c r="J25" s="14" t="inlineStr">
        <is>
          <t>AAP</t>
        </is>
      </c>
      <c r="K25" s="12" t="n">
        <v>-153</v>
      </c>
      <c r="L25" s="15">
        <f>I25-F25</f>
        <v/>
      </c>
      <c r="M25" s="12" t="n">
        <v>226</v>
      </c>
      <c r="N25" s="12" t="n">
        <v>472</v>
      </c>
    </row>
    <row r="26" ht="20" customHeight="1">
      <c r="A26" s="2" t="n">
        <v>25</v>
      </c>
      <c r="B26" s="3" t="inlineStr">
        <is>
          <t>Lakhuwal</t>
        </is>
      </c>
      <c r="C26" s="3" t="inlineStr">
        <is>
          <t>ਲਖੂਵਾਲ</t>
        </is>
      </c>
      <c r="D26" s="18" t="inlineStr">
        <is>
          <t>Weak Booth (&lt; 20% Share)</t>
        </is>
      </c>
      <c r="E26" s="5" t="n">
        <v>50</v>
      </c>
      <c r="F26" s="6">
        <f>50/379</f>
        <v/>
      </c>
      <c r="G26" s="7" t="inlineStr">
        <is>
          <t>AAP</t>
        </is>
      </c>
      <c r="H26" s="5" t="n">
        <v>63</v>
      </c>
      <c r="I26" s="6">
        <f>63/367</f>
        <v/>
      </c>
      <c r="J26" s="7" t="inlineStr">
        <is>
          <t>AAP</t>
        </is>
      </c>
      <c r="K26" s="5" t="n">
        <v>13</v>
      </c>
      <c r="L26" s="8">
        <f>I26-F26</f>
        <v/>
      </c>
      <c r="M26" s="5" t="n">
        <v>144</v>
      </c>
      <c r="N26" s="5" t="n">
        <v>367</v>
      </c>
    </row>
    <row r="27" ht="20" customHeight="1">
      <c r="A27" s="9" t="n">
        <v>26</v>
      </c>
      <c r="B27" s="10" t="inlineStr">
        <is>
          <t>Malakpur</t>
        </is>
      </c>
      <c r="C27" s="10" t="inlineStr">
        <is>
          <t>ਮਲਕਪੁਰ</t>
        </is>
      </c>
      <c r="D27" s="17" t="inlineStr">
        <is>
          <t>Lost Both Times (Deficit)</t>
        </is>
      </c>
      <c r="E27" s="12" t="n">
        <v>186</v>
      </c>
      <c r="F27" s="13">
        <f>186/778</f>
        <v/>
      </c>
      <c r="G27" s="14" t="inlineStr">
        <is>
          <t>AAP</t>
        </is>
      </c>
      <c r="H27" s="12" t="n">
        <v>150</v>
      </c>
      <c r="I27" s="13">
        <f>150/615</f>
        <v/>
      </c>
      <c r="J27" s="14" t="inlineStr">
        <is>
          <t>AAP</t>
        </is>
      </c>
      <c r="K27" s="12" t="n">
        <v>-36</v>
      </c>
      <c r="L27" s="15">
        <f>I27-F27</f>
        <v/>
      </c>
      <c r="M27" s="12" t="n">
        <v>52</v>
      </c>
      <c r="N27" s="12" t="n">
        <v>615</v>
      </c>
    </row>
    <row r="28" ht="20" customHeight="1">
      <c r="A28" s="2" t="n">
        <v>27</v>
      </c>
      <c r="B28" s="3" t="inlineStr">
        <is>
          <t>Thoba</t>
        </is>
      </c>
      <c r="C28" s="3" t="inlineStr">
        <is>
          <t>ਥੋਬਾ</t>
        </is>
      </c>
      <c r="D28" s="16" t="inlineStr">
        <is>
          <t>Lost in 2024 (to BJP)</t>
        </is>
      </c>
      <c r="E28" s="5" t="n">
        <v>212</v>
      </c>
      <c r="F28" s="6">
        <f>212/683</f>
        <v/>
      </c>
      <c r="G28" s="7" t="inlineStr">
        <is>
          <t>INC</t>
        </is>
      </c>
      <c r="H28" s="5" t="n">
        <v>102</v>
      </c>
      <c r="I28" s="6">
        <f>102/586</f>
        <v/>
      </c>
      <c r="J28" s="7" t="inlineStr">
        <is>
          <t>BJP</t>
        </is>
      </c>
      <c r="K28" s="5" t="n">
        <v>-110</v>
      </c>
      <c r="L28" s="8">
        <f>I28-F28</f>
        <v/>
      </c>
      <c r="M28" s="5" t="n">
        <v>32</v>
      </c>
      <c r="N28" s="5" t="n">
        <v>586</v>
      </c>
    </row>
    <row r="29" ht="20" customHeight="1">
      <c r="A29" s="9" t="n">
        <v>28</v>
      </c>
      <c r="B29" s="10" t="inlineStr">
        <is>
          <t>Thoba</t>
        </is>
      </c>
      <c r="C29" s="10" t="inlineStr">
        <is>
          <t>ਥੋਬਾ</t>
        </is>
      </c>
      <c r="D29" s="18" t="inlineStr">
        <is>
          <t>Weak Booth (&lt; 20% Share)</t>
        </is>
      </c>
      <c r="E29" s="12" t="n">
        <v>146</v>
      </c>
      <c r="F29" s="13">
        <f>146/784</f>
        <v/>
      </c>
      <c r="G29" s="14" t="inlineStr">
        <is>
          <t>AAP</t>
        </is>
      </c>
      <c r="H29" s="12" t="n">
        <v>115</v>
      </c>
      <c r="I29" s="13">
        <f>115/641</f>
        <v/>
      </c>
      <c r="J29" s="14" t="inlineStr">
        <is>
          <t>AAP</t>
        </is>
      </c>
      <c r="K29" s="12" t="n">
        <v>-31</v>
      </c>
      <c r="L29" s="15">
        <f>I29-F29</f>
        <v/>
      </c>
      <c r="M29" s="12" t="n">
        <v>111</v>
      </c>
      <c r="N29" s="12" t="n">
        <v>641</v>
      </c>
    </row>
    <row r="30" ht="20" customHeight="1">
      <c r="A30" s="2" t="n">
        <v>29</v>
      </c>
      <c r="B30" s="3" t="inlineStr">
        <is>
          <t>Dujo Wal</t>
        </is>
      </c>
      <c r="C30" s="3" t="inlineStr">
        <is>
          <t>ਦੁਜੋਵਾਲ</t>
        </is>
      </c>
      <c r="D30" s="4" t="inlineStr">
        <is>
          <t>Gained in 2024 (New Win)</t>
        </is>
      </c>
      <c r="E30" s="5" t="n">
        <v>191</v>
      </c>
      <c r="F30" s="6">
        <f>191/838</f>
        <v/>
      </c>
      <c r="G30" s="7" t="inlineStr">
        <is>
          <t>SAD</t>
        </is>
      </c>
      <c r="H30" s="5" t="n">
        <v>249</v>
      </c>
      <c r="I30" s="6">
        <f>249/803</f>
        <v/>
      </c>
      <c r="J30" s="7" t="inlineStr">
        <is>
          <t>INC</t>
        </is>
      </c>
      <c r="K30" s="5" t="n">
        <v>58</v>
      </c>
      <c r="L30" s="8">
        <f>I30-F30</f>
        <v/>
      </c>
      <c r="M30" s="5" t="n">
        <v>54</v>
      </c>
      <c r="N30" s="5" t="n">
        <v>803</v>
      </c>
    </row>
    <row r="31" ht="20" customHeight="1">
      <c r="A31" s="9" t="n">
        <v>30</v>
      </c>
      <c r="B31" s="10" t="inlineStr">
        <is>
          <t>Duharia</t>
        </is>
      </c>
      <c r="C31" s="10" t="inlineStr">
        <is>
          <t>ਦੁਹਾਰੀਆ</t>
        </is>
      </c>
      <c r="D31" s="4" t="inlineStr">
        <is>
          <t>Gained in 2024 (New Win)</t>
        </is>
      </c>
      <c r="E31" s="12" t="n">
        <v>174</v>
      </c>
      <c r="F31" s="13">
        <f>174/517</f>
        <v/>
      </c>
      <c r="G31" s="14" t="inlineStr">
        <is>
          <t>AAP</t>
        </is>
      </c>
      <c r="H31" s="12" t="n">
        <v>190</v>
      </c>
      <c r="I31" s="13">
        <f>190/463</f>
        <v/>
      </c>
      <c r="J31" s="14" t="inlineStr">
        <is>
          <t>INC</t>
        </is>
      </c>
      <c r="K31" s="12" t="n">
        <v>16</v>
      </c>
      <c r="L31" s="15">
        <f>I31-F31</f>
        <v/>
      </c>
      <c r="M31" s="12" t="n">
        <v>32</v>
      </c>
      <c r="N31" s="12" t="n">
        <v>463</v>
      </c>
    </row>
    <row r="32" ht="20" customHeight="1">
      <c r="A32" s="2" t="n">
        <v>31</v>
      </c>
      <c r="B32" s="3" t="inlineStr">
        <is>
          <t>Kallo Mahal</t>
        </is>
      </c>
      <c r="C32" s="3" t="inlineStr">
        <is>
          <t>ਕੱਲੋ ਮਾਹਲ</t>
        </is>
      </c>
      <c r="D32" s="4" t="inlineStr">
        <is>
          <t>Gained in 2024 (New Win)</t>
        </is>
      </c>
      <c r="E32" s="5" t="n">
        <v>146</v>
      </c>
      <c r="F32" s="6">
        <f>146/361</f>
        <v/>
      </c>
      <c r="G32" s="7" t="inlineStr">
        <is>
          <t>SAD</t>
        </is>
      </c>
      <c r="H32" s="5" t="n">
        <v>116</v>
      </c>
      <c r="I32" s="6">
        <f>116/309</f>
        <v/>
      </c>
      <c r="J32" s="7" t="inlineStr">
        <is>
          <t>INC</t>
        </is>
      </c>
      <c r="K32" s="5" t="n">
        <v>-30</v>
      </c>
      <c r="L32" s="8">
        <f>I32-F32</f>
        <v/>
      </c>
      <c r="M32" s="5" t="n">
        <v>55</v>
      </c>
      <c r="N32" s="5" t="n">
        <v>309</v>
      </c>
    </row>
    <row r="33" ht="20" customHeight="1">
      <c r="A33" s="9" t="n">
        <v>32</v>
      </c>
      <c r="B33" s="10" t="inlineStr">
        <is>
          <t>Sultan Mahal</t>
        </is>
      </c>
      <c r="C33" s="10" t="inlineStr">
        <is>
          <t>ਸੁਲਤਾਨ ਮਾਹਲ</t>
        </is>
      </c>
      <c r="D33" s="17" t="inlineStr">
        <is>
          <t>Lost Both Times (Deficit)</t>
        </is>
      </c>
      <c r="E33" s="12" t="n">
        <v>169</v>
      </c>
      <c r="F33" s="13">
        <f>169/598</f>
        <v/>
      </c>
      <c r="G33" s="14" t="inlineStr">
        <is>
          <t>AAP</t>
        </is>
      </c>
      <c r="H33" s="12" t="n">
        <v>156</v>
      </c>
      <c r="I33" s="13">
        <f>156/510</f>
        <v/>
      </c>
      <c r="J33" s="14" t="inlineStr">
        <is>
          <t>AAP</t>
        </is>
      </c>
      <c r="K33" s="12" t="n">
        <v>-13</v>
      </c>
      <c r="L33" s="15">
        <f>I33-F33</f>
        <v/>
      </c>
      <c r="M33" s="12" t="n">
        <v>34</v>
      </c>
      <c r="N33" s="12" t="n">
        <v>510</v>
      </c>
    </row>
    <row r="34" ht="20" customHeight="1">
      <c r="A34" s="2" t="n">
        <v>33</v>
      </c>
      <c r="B34" s="3" t="inlineStr">
        <is>
          <t>Suffian</t>
        </is>
      </c>
      <c r="C34" s="3" t="inlineStr">
        <is>
          <t>ਸੂਫ਼ੀਆਂ</t>
        </is>
      </c>
      <c r="D34" s="16" t="inlineStr">
        <is>
          <t>Lost in 2024 (to AAP)</t>
        </is>
      </c>
      <c r="E34" s="5" t="n">
        <v>209</v>
      </c>
      <c r="F34" s="6">
        <f>209/512</f>
        <v/>
      </c>
      <c r="G34" s="7" t="inlineStr">
        <is>
          <t>INC</t>
        </is>
      </c>
      <c r="H34" s="5" t="n">
        <v>163</v>
      </c>
      <c r="I34" s="6">
        <f>163/533</f>
        <v/>
      </c>
      <c r="J34" s="7" t="inlineStr">
        <is>
          <t>AAP</t>
        </is>
      </c>
      <c r="K34" s="5" t="n">
        <v>-46</v>
      </c>
      <c r="L34" s="8">
        <f>I34-F34</f>
        <v/>
      </c>
      <c r="M34" s="5" t="n">
        <v>2</v>
      </c>
      <c r="N34" s="5" t="n">
        <v>533</v>
      </c>
    </row>
    <row r="35" ht="20" customHeight="1">
      <c r="A35" s="9" t="n">
        <v>34</v>
      </c>
      <c r="B35" s="10" t="inlineStr">
        <is>
          <t>Kot Rajada</t>
        </is>
      </c>
      <c r="C35" s="10" t="inlineStr">
        <is>
          <t>ਕੋਟ ਰਜਾਦਾ</t>
        </is>
      </c>
      <c r="D35" s="17" t="inlineStr">
        <is>
          <t>Lost Both Times (Deficit)</t>
        </is>
      </c>
      <c r="E35" s="12" t="n">
        <v>228</v>
      </c>
      <c r="F35" s="13">
        <f>228/699</f>
        <v/>
      </c>
      <c r="G35" s="14" t="inlineStr">
        <is>
          <t>SAD</t>
        </is>
      </c>
      <c r="H35" s="12" t="n">
        <v>171</v>
      </c>
      <c r="I35" s="13">
        <f>171/684</f>
        <v/>
      </c>
      <c r="J35" s="14" t="inlineStr">
        <is>
          <t>AAP</t>
        </is>
      </c>
      <c r="K35" s="12" t="n">
        <v>-57</v>
      </c>
      <c r="L35" s="15">
        <f>I35-F35</f>
        <v/>
      </c>
      <c r="M35" s="12" t="n">
        <v>64</v>
      </c>
      <c r="N35" s="12" t="n">
        <v>684</v>
      </c>
    </row>
    <row r="36" ht="20" customHeight="1">
      <c r="A36" s="2" t="n">
        <v>35</v>
      </c>
      <c r="B36" s="3" t="inlineStr">
        <is>
          <t>Chaharhpur</t>
        </is>
      </c>
      <c r="C36" s="3" t="inlineStr">
        <is>
          <t>ਚਾਹੜਪੁਰ</t>
        </is>
      </c>
      <c r="D36" s="17" t="inlineStr">
        <is>
          <t>Lost Both Times (Deficit)</t>
        </is>
      </c>
      <c r="E36" s="5" t="n">
        <v>216</v>
      </c>
      <c r="F36" s="6">
        <f>216/686</f>
        <v/>
      </c>
      <c r="G36" s="7" t="inlineStr">
        <is>
          <t>AAP</t>
        </is>
      </c>
      <c r="H36" s="5" t="n">
        <v>216</v>
      </c>
      <c r="I36" s="6">
        <f>216/662</f>
        <v/>
      </c>
      <c r="J36" s="7" t="inlineStr">
        <is>
          <t>AAP</t>
        </is>
      </c>
      <c r="K36" s="5" t="n">
        <v>0</v>
      </c>
      <c r="L36" s="8">
        <f>I36-F36</f>
        <v/>
      </c>
      <c r="M36" s="5" t="n">
        <v>139</v>
      </c>
      <c r="N36" s="5" t="n">
        <v>662</v>
      </c>
    </row>
    <row r="37" ht="20" customHeight="1">
      <c r="A37" s="9" t="n">
        <v>36</v>
      </c>
      <c r="B37" s="10" t="inlineStr">
        <is>
          <t>Diyal Bhati</t>
        </is>
      </c>
      <c r="C37" s="10" t="inlineStr">
        <is>
          <t>ਦਿਆਲ ਭੱਟੀ</t>
        </is>
      </c>
      <c r="D37" s="11" t="inlineStr">
        <is>
          <t>Won Both Times (Stronghold)</t>
        </is>
      </c>
      <c r="E37" s="12" t="n">
        <v>292</v>
      </c>
      <c r="F37" s="13">
        <f>292/923</f>
        <v/>
      </c>
      <c r="G37" s="14" t="inlineStr">
        <is>
          <t>INC</t>
        </is>
      </c>
      <c r="H37" s="12" t="n">
        <v>367</v>
      </c>
      <c r="I37" s="13">
        <f>367/766</f>
        <v/>
      </c>
      <c r="J37" s="14" t="inlineStr">
        <is>
          <t>INC</t>
        </is>
      </c>
      <c r="K37" s="12" t="n">
        <v>75</v>
      </c>
      <c r="L37" s="15">
        <f>I37-F37</f>
        <v/>
      </c>
      <c r="M37" s="12" t="n">
        <v>212</v>
      </c>
      <c r="N37" s="12" t="n">
        <v>766</v>
      </c>
    </row>
    <row r="38" ht="20" customHeight="1">
      <c r="A38" s="2" t="n">
        <v>37</v>
      </c>
      <c r="B38" s="3" t="inlineStr">
        <is>
          <t>Dial Bhatti</t>
        </is>
      </c>
      <c r="C38" s="3" t="inlineStr">
        <is>
          <t>ਦਿਆਲ ਭੱਟੀ</t>
        </is>
      </c>
      <c r="D38" s="4" t="inlineStr">
        <is>
          <t>Gained in 2024 (New Win)</t>
        </is>
      </c>
      <c r="E38" s="5" t="n">
        <v>99</v>
      </c>
      <c r="F38" s="6">
        <f>99/401</f>
        <v/>
      </c>
      <c r="G38" s="7" t="inlineStr">
        <is>
          <t>AAP</t>
        </is>
      </c>
      <c r="H38" s="5" t="n">
        <v>127</v>
      </c>
      <c r="I38" s="6">
        <f>127/353</f>
        <v/>
      </c>
      <c r="J38" s="7" t="inlineStr">
        <is>
          <t>INC</t>
        </is>
      </c>
      <c r="K38" s="5" t="n">
        <v>28</v>
      </c>
      <c r="L38" s="8">
        <f>I38-F38</f>
        <v/>
      </c>
      <c r="M38" s="5" t="n">
        <v>16</v>
      </c>
      <c r="N38" s="5" t="n">
        <v>353</v>
      </c>
    </row>
    <row r="39" ht="20" customHeight="1">
      <c r="A39" s="9" t="n">
        <v>38</v>
      </c>
      <c r="B39" s="10" t="inlineStr">
        <is>
          <t>Galib</t>
        </is>
      </c>
      <c r="C39" s="10" t="inlineStr">
        <is>
          <t>ਗ਼ਾਲਿਬ</t>
        </is>
      </c>
      <c r="D39" s="4" t="inlineStr">
        <is>
          <t>Gained in 2024 (New Win)</t>
        </is>
      </c>
      <c r="E39" s="12" t="n">
        <v>245</v>
      </c>
      <c r="F39" s="13">
        <f>245/675</f>
        <v/>
      </c>
      <c r="G39" s="14" t="inlineStr">
        <is>
          <t>AAP</t>
        </is>
      </c>
      <c r="H39" s="12" t="n">
        <v>216</v>
      </c>
      <c r="I39" s="13">
        <f>216/556</f>
        <v/>
      </c>
      <c r="J39" s="14" t="inlineStr">
        <is>
          <t>INC</t>
        </is>
      </c>
      <c r="K39" s="12" t="n">
        <v>-29</v>
      </c>
      <c r="L39" s="15">
        <f>I39-F39</f>
        <v/>
      </c>
      <c r="M39" s="12" t="n">
        <v>95</v>
      </c>
      <c r="N39" s="12" t="n">
        <v>556</v>
      </c>
    </row>
    <row r="40" ht="20" customHeight="1">
      <c r="A40" s="2" t="n">
        <v>39</v>
      </c>
      <c r="B40" s="3" t="inlineStr">
        <is>
          <t>Bal Labbe Dariya</t>
        </is>
      </c>
      <c r="C40" s="3" t="inlineStr">
        <is>
          <t>ਬੱਲ ਲੱਭੇ ਦਰਿਆ</t>
        </is>
      </c>
      <c r="D40" s="17" t="inlineStr">
        <is>
          <t>Lost Both Times (Deficit)</t>
        </is>
      </c>
      <c r="E40" s="5" t="n">
        <v>111</v>
      </c>
      <c r="F40" s="6">
        <f>111/506</f>
        <v/>
      </c>
      <c r="G40" s="7" t="inlineStr">
        <is>
          <t>AAP</t>
        </is>
      </c>
      <c r="H40" s="5" t="n">
        <v>171</v>
      </c>
      <c r="I40" s="6">
        <f>171/484</f>
        <v/>
      </c>
      <c r="J40" s="7" t="inlineStr">
        <is>
          <t>AAP</t>
        </is>
      </c>
      <c r="K40" s="5" t="n">
        <v>60</v>
      </c>
      <c r="L40" s="8">
        <f>I40-F40</f>
        <v/>
      </c>
      <c r="M40" s="5" t="n">
        <v>11</v>
      </c>
      <c r="N40" s="5" t="n">
        <v>484</v>
      </c>
    </row>
    <row r="41" ht="20" customHeight="1">
      <c r="A41" s="9" t="n">
        <v>40</v>
      </c>
      <c r="B41" s="10" t="inlineStr">
        <is>
          <t>Chakk Bala</t>
        </is>
      </c>
      <c r="C41" s="10" t="inlineStr">
        <is>
          <t>ਚੱਕ ਬਾਲਾ</t>
        </is>
      </c>
      <c r="D41" s="11" t="inlineStr">
        <is>
          <t>Won Both Times (Stronghold)</t>
        </is>
      </c>
      <c r="E41" s="12" t="n">
        <v>280</v>
      </c>
      <c r="F41" s="13">
        <f>280/724</f>
        <v/>
      </c>
      <c r="G41" s="14" t="inlineStr">
        <is>
          <t>INC</t>
        </is>
      </c>
      <c r="H41" s="12" t="n">
        <v>222</v>
      </c>
      <c r="I41" s="13">
        <f>222/693</f>
        <v/>
      </c>
      <c r="J41" s="14" t="inlineStr">
        <is>
          <t>INC</t>
        </is>
      </c>
      <c r="K41" s="12" t="n">
        <v>-58</v>
      </c>
      <c r="L41" s="15">
        <f>I41-F41</f>
        <v/>
      </c>
      <c r="M41" s="12" t="n">
        <v>5</v>
      </c>
      <c r="N41" s="12" t="n">
        <v>693</v>
      </c>
    </row>
    <row r="42" ht="20" customHeight="1">
      <c r="A42" s="2" t="n">
        <v>41</v>
      </c>
      <c r="B42" s="3" t="inlineStr">
        <is>
          <t>Jagdev Khurd</t>
        </is>
      </c>
      <c r="C42" s="3" t="inlineStr">
        <is>
          <t>ਜਗਦੇਵ ਖੁਰਦ</t>
        </is>
      </c>
      <c r="D42" s="4" t="inlineStr">
        <is>
          <t>Gained in 2024 (New Win)</t>
        </is>
      </c>
      <c r="E42" s="5" t="n">
        <v>180</v>
      </c>
      <c r="F42" s="6">
        <f>180/549</f>
        <v/>
      </c>
      <c r="G42" s="7" t="inlineStr">
        <is>
          <t>AAP</t>
        </is>
      </c>
      <c r="H42" s="5" t="n">
        <v>187</v>
      </c>
      <c r="I42" s="6">
        <f>187/480</f>
        <v/>
      </c>
      <c r="J42" s="7" t="inlineStr">
        <is>
          <t>INC</t>
        </is>
      </c>
      <c r="K42" s="5" t="n">
        <v>7</v>
      </c>
      <c r="L42" s="8">
        <f>I42-F42</f>
        <v/>
      </c>
      <c r="M42" s="5" t="n">
        <v>68</v>
      </c>
      <c r="N42" s="5" t="n">
        <v>480</v>
      </c>
    </row>
    <row r="43" ht="20" customHeight="1">
      <c r="A43" s="9" t="n">
        <v>42</v>
      </c>
      <c r="B43" s="10" t="inlineStr">
        <is>
          <t>Jagdev Khurd</t>
        </is>
      </c>
      <c r="C43" s="10" t="inlineStr">
        <is>
          <t>ਜਗਦੇਵ ਖੁਰਦ</t>
        </is>
      </c>
      <c r="D43" s="4" t="inlineStr">
        <is>
          <t>Gained in 2024 (New Win)</t>
        </is>
      </c>
      <c r="E43" s="12" t="n">
        <v>161</v>
      </c>
      <c r="F43" s="13">
        <f>161/493</f>
        <v/>
      </c>
      <c r="G43" s="14" t="inlineStr">
        <is>
          <t>AAP</t>
        </is>
      </c>
      <c r="H43" s="12" t="n">
        <v>180</v>
      </c>
      <c r="I43" s="13">
        <f>180/456</f>
        <v/>
      </c>
      <c r="J43" s="14" t="inlineStr">
        <is>
          <t>INC</t>
        </is>
      </c>
      <c r="K43" s="12" t="n">
        <v>19</v>
      </c>
      <c r="L43" s="15">
        <f>I43-F43</f>
        <v/>
      </c>
      <c r="M43" s="12" t="n">
        <v>62</v>
      </c>
      <c r="N43" s="12" t="n">
        <v>456</v>
      </c>
    </row>
    <row r="44" ht="20" customHeight="1">
      <c r="A44" s="2" t="n">
        <v>43</v>
      </c>
      <c r="B44" s="3" t="inlineStr">
        <is>
          <t>Aliwal Kotli</t>
        </is>
      </c>
      <c r="C44" s="3" t="inlineStr">
        <is>
          <t>ਅਲੀਵਾਲ ਕੋਟਲੀ</t>
        </is>
      </c>
      <c r="D44" s="4" t="inlineStr">
        <is>
          <t>Gained in 2024 (New Win)</t>
        </is>
      </c>
      <c r="E44" s="5" t="n">
        <v>153</v>
      </c>
      <c r="F44" s="6">
        <f>153/480</f>
        <v/>
      </c>
      <c r="G44" s="7" t="inlineStr">
        <is>
          <t>AAP</t>
        </is>
      </c>
      <c r="H44" s="5" t="n">
        <v>200</v>
      </c>
      <c r="I44" s="6">
        <f>200/464</f>
        <v/>
      </c>
      <c r="J44" s="7" t="inlineStr">
        <is>
          <t>INC</t>
        </is>
      </c>
      <c r="K44" s="5" t="n">
        <v>47</v>
      </c>
      <c r="L44" s="8">
        <f>I44-F44</f>
        <v/>
      </c>
      <c r="M44" s="5" t="n">
        <v>7</v>
      </c>
      <c r="N44" s="5" t="n">
        <v>464</v>
      </c>
    </row>
    <row r="45" ht="20" customHeight="1">
      <c r="A45" s="9" t="n">
        <v>44</v>
      </c>
      <c r="B45" s="10" t="inlineStr">
        <is>
          <t>Gurala</t>
        </is>
      </c>
      <c r="C45" s="10" t="inlineStr">
        <is>
          <t>ਗੁਰਾਲਾ</t>
        </is>
      </c>
      <c r="D45" s="4" t="inlineStr">
        <is>
          <t>Gained in 2024 (New Win)</t>
        </is>
      </c>
      <c r="E45" s="12" t="n">
        <v>161</v>
      </c>
      <c r="F45" s="13">
        <f>161/858</f>
        <v/>
      </c>
      <c r="G45" s="14" t="inlineStr">
        <is>
          <t>SAD</t>
        </is>
      </c>
      <c r="H45" s="12" t="n">
        <v>209</v>
      </c>
      <c r="I45" s="13">
        <f>209/681</f>
        <v/>
      </c>
      <c r="J45" s="14" t="inlineStr">
        <is>
          <t>INC</t>
        </is>
      </c>
      <c r="K45" s="12" t="n">
        <v>48</v>
      </c>
      <c r="L45" s="15">
        <f>I45-F45</f>
        <v/>
      </c>
      <c r="M45" s="12" t="n">
        <v>20</v>
      </c>
      <c r="N45" s="12" t="n">
        <v>681</v>
      </c>
    </row>
    <row r="46" ht="20" customHeight="1">
      <c r="A46" s="2" t="n">
        <v>45</v>
      </c>
      <c r="B46" s="3" t="inlineStr">
        <is>
          <t>Terha Rajputa</t>
        </is>
      </c>
      <c r="C46" s="3" t="inlineStr">
        <is>
          <t>ਤੇੜ੍ਹਾ ਰਾਜਪੂਤਾਂ</t>
        </is>
      </c>
      <c r="D46" s="17" t="inlineStr">
        <is>
          <t>Lost Both Times (Deficit)</t>
        </is>
      </c>
      <c r="E46" s="5" t="n">
        <v>185</v>
      </c>
      <c r="F46" s="6">
        <f>185/822</f>
        <v/>
      </c>
      <c r="G46" s="7" t="inlineStr">
        <is>
          <t>AAP</t>
        </is>
      </c>
      <c r="H46" s="5" t="n">
        <v>228</v>
      </c>
      <c r="I46" s="6">
        <f>228/816</f>
        <v/>
      </c>
      <c r="J46" s="7" t="inlineStr">
        <is>
          <t>AAP</t>
        </is>
      </c>
      <c r="K46" s="5" t="n">
        <v>43</v>
      </c>
      <c r="L46" s="8">
        <f>I46-F46</f>
        <v/>
      </c>
      <c r="M46" s="5" t="n">
        <v>77</v>
      </c>
      <c r="N46" s="5" t="n">
        <v>816</v>
      </c>
    </row>
    <row r="47" ht="20" customHeight="1">
      <c r="A47" s="9" t="n">
        <v>46</v>
      </c>
      <c r="B47" s="10" t="inlineStr">
        <is>
          <t>Abadi Dinewali</t>
        </is>
      </c>
      <c r="C47" s="10" t="inlineStr">
        <is>
          <t>ਆਬਾਦੀ ਦੀਨੇਵਾਲੀ</t>
        </is>
      </c>
      <c r="D47" s="17" t="inlineStr">
        <is>
          <t>Lost Both Times (Deficit)</t>
        </is>
      </c>
      <c r="E47" s="12" t="n">
        <v>174</v>
      </c>
      <c r="F47" s="13">
        <f>174/574</f>
        <v/>
      </c>
      <c r="G47" s="14" t="inlineStr">
        <is>
          <t>AAP</t>
        </is>
      </c>
      <c r="H47" s="12" t="n">
        <v>147</v>
      </c>
      <c r="I47" s="13">
        <f>147/595</f>
        <v/>
      </c>
      <c r="J47" s="14" t="inlineStr">
        <is>
          <t>BJP</t>
        </is>
      </c>
      <c r="K47" s="12" t="n">
        <v>-27</v>
      </c>
      <c r="L47" s="15">
        <f>I47-F47</f>
        <v/>
      </c>
      <c r="M47" s="12" t="n">
        <v>59</v>
      </c>
      <c r="N47" s="12" t="n">
        <v>595</v>
      </c>
    </row>
    <row r="48" ht="20" customHeight="1">
      <c r="A48" s="2" t="n">
        <v>47</v>
      </c>
      <c r="B48" s="3" t="inlineStr">
        <is>
          <t>Dalla Rajputa</t>
        </is>
      </c>
      <c r="C48" s="3" t="inlineStr">
        <is>
          <t>ਡੱਲਾ ਰਾਜਪੂਤਾਂ</t>
        </is>
      </c>
      <c r="D48" s="4" t="inlineStr">
        <is>
          <t>Gained in 2024 (New Win)</t>
        </is>
      </c>
      <c r="E48" s="5" t="n">
        <v>227</v>
      </c>
      <c r="F48" s="6">
        <f>227/750</f>
        <v/>
      </c>
      <c r="G48" s="7" t="inlineStr">
        <is>
          <t>AAP</t>
        </is>
      </c>
      <c r="H48" s="5" t="n">
        <v>252</v>
      </c>
      <c r="I48" s="6">
        <f>252/659</f>
        <v/>
      </c>
      <c r="J48" s="7" t="inlineStr">
        <is>
          <t>INC</t>
        </is>
      </c>
      <c r="K48" s="5" t="n">
        <v>25</v>
      </c>
      <c r="L48" s="8">
        <f>I48-F48</f>
        <v/>
      </c>
      <c r="M48" s="5" t="n">
        <v>102</v>
      </c>
      <c r="N48" s="5" t="n">
        <v>659</v>
      </c>
    </row>
    <row r="49" ht="20" customHeight="1">
      <c r="A49" s="9" t="n">
        <v>48</v>
      </c>
      <c r="B49" s="10" t="inlineStr">
        <is>
          <t>Dalla Rajputa</t>
        </is>
      </c>
      <c r="C49" s="10" t="inlineStr">
        <is>
          <t>ਡੱਲਾ ਰਾਜਪੂਤਾਂ</t>
        </is>
      </c>
      <c r="D49" s="17" t="inlineStr">
        <is>
          <t>Lost Both Times (Deficit)</t>
        </is>
      </c>
      <c r="E49" s="12" t="n">
        <v>124</v>
      </c>
      <c r="F49" s="13">
        <f>124/625</f>
        <v/>
      </c>
      <c r="G49" s="14" t="inlineStr">
        <is>
          <t>AAP</t>
        </is>
      </c>
      <c r="H49" s="12" t="n">
        <v>139</v>
      </c>
      <c r="I49" s="13">
        <f>139/542</f>
        <v/>
      </c>
      <c r="J49" s="14" t="inlineStr">
        <is>
          <t>BJP</t>
        </is>
      </c>
      <c r="K49" s="12" t="n">
        <v>15</v>
      </c>
      <c r="L49" s="15">
        <f>I49-F49</f>
        <v/>
      </c>
      <c r="M49" s="12" t="n">
        <v>21</v>
      </c>
      <c r="N49" s="12" t="n">
        <v>542</v>
      </c>
    </row>
    <row r="50" ht="20" customHeight="1">
      <c r="A50" s="2" t="n">
        <v>49</v>
      </c>
      <c r="B50" s="3" t="inlineStr">
        <is>
          <t>Dalla Rajputa</t>
        </is>
      </c>
      <c r="C50" s="3" t="inlineStr">
        <is>
          <t>ਡੱਲਾ ਰਾਜਪੂਤਾਂ</t>
        </is>
      </c>
      <c r="D50" s="17" t="inlineStr">
        <is>
          <t>Lost Both Times (Deficit)</t>
        </is>
      </c>
      <c r="E50" s="5" t="n">
        <v>150</v>
      </c>
      <c r="F50" s="6">
        <f>150/606</f>
        <v/>
      </c>
      <c r="G50" s="7" t="inlineStr">
        <is>
          <t>AAP</t>
        </is>
      </c>
      <c r="H50" s="5" t="n">
        <v>135</v>
      </c>
      <c r="I50" s="6">
        <f>135/569</f>
        <v/>
      </c>
      <c r="J50" s="7" t="inlineStr">
        <is>
          <t>BJP</t>
        </is>
      </c>
      <c r="K50" s="5" t="n">
        <v>-15</v>
      </c>
      <c r="L50" s="8">
        <f>I50-F50</f>
        <v/>
      </c>
      <c r="M50" s="5" t="n">
        <v>63</v>
      </c>
      <c r="N50" s="5" t="n">
        <v>569</v>
      </c>
    </row>
    <row r="51" ht="20" customHeight="1">
      <c r="A51" s="9" t="n">
        <v>50</v>
      </c>
      <c r="B51" s="10" t="inlineStr">
        <is>
          <t>Balarhwal</t>
        </is>
      </c>
      <c r="C51" s="10" t="inlineStr">
        <is>
          <t>ਬਲੜ੍ਹਵਾਲ</t>
        </is>
      </c>
      <c r="D51" s="18" t="inlineStr">
        <is>
          <t>Weak Booth (&lt; 20% Share)</t>
        </is>
      </c>
      <c r="E51" s="12" t="n">
        <v>201</v>
      </c>
      <c r="F51" s="13">
        <f>201/821</f>
        <v/>
      </c>
      <c r="G51" s="14" t="inlineStr">
        <is>
          <t>SAD</t>
        </is>
      </c>
      <c r="H51" s="12" t="n">
        <v>134</v>
      </c>
      <c r="I51" s="13">
        <f>134/739</f>
        <v/>
      </c>
      <c r="J51" s="14" t="inlineStr">
        <is>
          <t>BJP</t>
        </is>
      </c>
      <c r="K51" s="12" t="n">
        <v>-67</v>
      </c>
      <c r="L51" s="15">
        <f>I51-F51</f>
        <v/>
      </c>
      <c r="M51" s="12" t="n">
        <v>64</v>
      </c>
      <c r="N51" s="12" t="n">
        <v>739</v>
      </c>
    </row>
    <row r="52" ht="20" customHeight="1">
      <c r="A52" s="2" t="n">
        <v>51</v>
      </c>
      <c r="B52" s="3" t="inlineStr">
        <is>
          <t>Balarhwal</t>
        </is>
      </c>
      <c r="C52" s="3" t="inlineStr">
        <is>
          <t>ਬਲੜ੍ਹਵਾਲ</t>
        </is>
      </c>
      <c r="D52" s="17" t="inlineStr">
        <is>
          <t>Lost Both Times (Deficit)</t>
        </is>
      </c>
      <c r="E52" s="5" t="n">
        <v>243</v>
      </c>
      <c r="F52" s="6">
        <f>243/875</f>
        <v/>
      </c>
      <c r="G52" s="7" t="inlineStr">
        <is>
          <t>AAP</t>
        </is>
      </c>
      <c r="H52" s="5" t="n">
        <v>194</v>
      </c>
      <c r="I52" s="6">
        <f>194/905</f>
        <v/>
      </c>
      <c r="J52" s="7" t="inlineStr">
        <is>
          <t>AAP</t>
        </is>
      </c>
      <c r="K52" s="5" t="n">
        <v>-49</v>
      </c>
      <c r="L52" s="8">
        <f>I52-F52</f>
        <v/>
      </c>
      <c r="M52" s="5" t="n">
        <v>119</v>
      </c>
      <c r="N52" s="5" t="n">
        <v>905</v>
      </c>
    </row>
    <row r="53" ht="20" customHeight="1">
      <c r="A53" s="9" t="n">
        <v>52</v>
      </c>
      <c r="B53" s="10" t="inlineStr">
        <is>
          <t>Balarhwal</t>
        </is>
      </c>
      <c r="C53" s="10" t="inlineStr">
        <is>
          <t>ਬਲੜ੍ਹਵਾਲ</t>
        </is>
      </c>
      <c r="D53" s="17" t="inlineStr">
        <is>
          <t>Lost Both Times (Deficit)</t>
        </is>
      </c>
      <c r="E53" s="12" t="n">
        <v>269</v>
      </c>
      <c r="F53" s="13">
        <f>269/877</f>
        <v/>
      </c>
      <c r="G53" s="14" t="inlineStr">
        <is>
          <t>AAP</t>
        </is>
      </c>
      <c r="H53" s="12" t="n">
        <v>185</v>
      </c>
      <c r="I53" s="13">
        <f>185/842</f>
        <v/>
      </c>
      <c r="J53" s="14" t="inlineStr">
        <is>
          <t>BJP</t>
        </is>
      </c>
      <c r="K53" s="12" t="n">
        <v>-84</v>
      </c>
      <c r="L53" s="15">
        <f>I53-F53</f>
        <v/>
      </c>
      <c r="M53" s="12" t="n">
        <v>156</v>
      </c>
      <c r="N53" s="12" t="n">
        <v>842</v>
      </c>
    </row>
    <row r="54" ht="20" customHeight="1">
      <c r="A54" s="2" t="n">
        <v>53</v>
      </c>
      <c r="B54" s="3" t="inlineStr">
        <is>
          <t>Khanwal</t>
        </is>
      </c>
      <c r="C54" s="3" t="inlineStr">
        <is>
          <t>ਖਾਨਵਾਲ</t>
        </is>
      </c>
      <c r="D54" s="17" t="inlineStr">
        <is>
          <t>Lost Both Times (Deficit)</t>
        </is>
      </c>
      <c r="E54" s="5" t="n">
        <v>293</v>
      </c>
      <c r="F54" s="6">
        <f>293/889</f>
        <v/>
      </c>
      <c r="G54" s="7" t="inlineStr">
        <is>
          <t>SAD</t>
        </is>
      </c>
      <c r="H54" s="5" t="n">
        <v>301</v>
      </c>
      <c r="I54" s="6">
        <f>301/873</f>
        <v/>
      </c>
      <c r="J54" s="7" t="inlineStr">
        <is>
          <t>BJP</t>
        </is>
      </c>
      <c r="K54" s="5" t="n">
        <v>8</v>
      </c>
      <c r="L54" s="8">
        <f>I54-F54</f>
        <v/>
      </c>
      <c r="M54" s="5" t="n">
        <v>51</v>
      </c>
      <c r="N54" s="5" t="n">
        <v>873</v>
      </c>
    </row>
    <row r="55" ht="20" customHeight="1">
      <c r="A55" s="9" t="n">
        <v>54</v>
      </c>
      <c r="B55" s="10" t="inlineStr">
        <is>
          <t>Raipur Kalan</t>
        </is>
      </c>
      <c r="C55" s="10" t="inlineStr">
        <is>
          <t>ਰਾਏਪੁਰ ਕਲਾਂ</t>
        </is>
      </c>
      <c r="D55" s="11" t="inlineStr">
        <is>
          <t>Won Both Times (Stronghold)</t>
        </is>
      </c>
      <c r="E55" s="12" t="n">
        <v>373</v>
      </c>
      <c r="F55" s="13">
        <f>373/910</f>
        <v/>
      </c>
      <c r="G55" s="14" t="inlineStr">
        <is>
          <t>INC</t>
        </is>
      </c>
      <c r="H55" s="12" t="n">
        <v>359</v>
      </c>
      <c r="I55" s="13">
        <f>359/834</f>
        <v/>
      </c>
      <c r="J55" s="14" t="inlineStr">
        <is>
          <t>INC</t>
        </is>
      </c>
      <c r="K55" s="12" t="n">
        <v>-14</v>
      </c>
      <c r="L55" s="15">
        <f>I55-F55</f>
        <v/>
      </c>
      <c r="M55" s="12" t="n">
        <v>117</v>
      </c>
      <c r="N55" s="12" t="n">
        <v>834</v>
      </c>
    </row>
    <row r="56" ht="20" customHeight="1">
      <c r="A56" s="2" t="n">
        <v>55</v>
      </c>
      <c r="B56" s="3" t="inlineStr">
        <is>
          <t>Sheikh Bhati</t>
        </is>
      </c>
      <c r="C56" s="3" t="inlineStr">
        <is>
          <t>ਸ਼ੇਖ਼ ਭੱਟੀ</t>
        </is>
      </c>
      <c r="D56" s="16" t="inlineStr">
        <is>
          <t>Lost in 2024 (to AAP)</t>
        </is>
      </c>
      <c r="E56" s="5" t="n">
        <v>223</v>
      </c>
      <c r="F56" s="6">
        <f>223/667</f>
        <v/>
      </c>
      <c r="G56" s="7" t="inlineStr">
        <is>
          <t>INC</t>
        </is>
      </c>
      <c r="H56" s="5" t="n">
        <v>182</v>
      </c>
      <c r="I56" s="6">
        <f>182/616</f>
        <v/>
      </c>
      <c r="J56" s="7" t="inlineStr">
        <is>
          <t>AAP</t>
        </is>
      </c>
      <c r="K56" s="5" t="n">
        <v>-41</v>
      </c>
      <c r="L56" s="8">
        <f>I56-F56</f>
        <v/>
      </c>
      <c r="M56" s="5" t="n">
        <v>80</v>
      </c>
      <c r="N56" s="5" t="n">
        <v>616</v>
      </c>
    </row>
    <row r="57" ht="20" customHeight="1">
      <c r="A57" s="9" t="n">
        <v>56</v>
      </c>
      <c r="B57" s="10" t="inlineStr">
        <is>
          <t>Majhi Meeu</t>
        </is>
      </c>
      <c r="C57" s="10" t="inlineStr">
        <is>
          <t>ਮਾਝੀ ਮੀਊ</t>
        </is>
      </c>
      <c r="D57" s="18" t="inlineStr">
        <is>
          <t>Weak Booth (&lt; 20% Share)</t>
        </is>
      </c>
      <c r="E57" s="12" t="n">
        <v>71</v>
      </c>
      <c r="F57" s="13">
        <f>71/350</f>
        <v/>
      </c>
      <c r="G57" s="14" t="inlineStr">
        <is>
          <t>SAD</t>
        </is>
      </c>
      <c r="H57" s="12" t="n">
        <v>64</v>
      </c>
      <c r="I57" s="13">
        <f>64/367</f>
        <v/>
      </c>
      <c r="J57" s="14" t="inlineStr">
        <is>
          <t>AAP</t>
        </is>
      </c>
      <c r="K57" s="12" t="n">
        <v>-7</v>
      </c>
      <c r="L57" s="15">
        <f>I57-F57</f>
        <v/>
      </c>
      <c r="M57" s="12" t="n">
        <v>137</v>
      </c>
      <c r="N57" s="12" t="n">
        <v>367</v>
      </c>
    </row>
    <row r="58" ht="20" customHeight="1">
      <c r="A58" s="2" t="n">
        <v>57</v>
      </c>
      <c r="B58" s="3" t="inlineStr">
        <is>
          <t>Saidpur Khurd</t>
        </is>
      </c>
      <c r="C58" s="3" t="inlineStr">
        <is>
          <t>ਸਈਦਪੁਰ ਖੁਰਦ</t>
        </is>
      </c>
      <c r="D58" s="17" t="inlineStr">
        <is>
          <t>Lost Both Times (Deficit)</t>
        </is>
      </c>
      <c r="E58" s="5" t="n">
        <v>168</v>
      </c>
      <c r="F58" s="6">
        <f>168/522</f>
        <v/>
      </c>
      <c r="G58" s="7" t="inlineStr">
        <is>
          <t>SAD</t>
        </is>
      </c>
      <c r="H58" s="5" t="n">
        <v>136</v>
      </c>
      <c r="I58" s="6">
        <f>136/517</f>
        <v/>
      </c>
      <c r="J58" s="7" t="inlineStr">
        <is>
          <t>AAP</t>
        </is>
      </c>
      <c r="K58" s="5" t="n">
        <v>-32</v>
      </c>
      <c r="L58" s="8">
        <f>I58-F58</f>
        <v/>
      </c>
      <c r="M58" s="5" t="n">
        <v>32</v>
      </c>
      <c r="N58" s="5" t="n">
        <v>517</v>
      </c>
    </row>
    <row r="59" ht="20" customHeight="1">
      <c r="A59" s="9" t="n">
        <v>58</v>
      </c>
      <c r="B59" s="10" t="inlineStr">
        <is>
          <t>Hashampura</t>
        </is>
      </c>
      <c r="C59" s="10" t="inlineStr">
        <is>
          <t>ਹਾਸ਼ਮਪੁਰਾ</t>
        </is>
      </c>
      <c r="D59" s="4" t="inlineStr">
        <is>
          <t>Gained in 2024 (New Win)</t>
        </is>
      </c>
      <c r="E59" s="12" t="n">
        <v>259</v>
      </c>
      <c r="F59" s="13">
        <f>259/919</f>
        <v/>
      </c>
      <c r="G59" s="14" t="inlineStr">
        <is>
          <t>SAD</t>
        </is>
      </c>
      <c r="H59" s="12" t="n">
        <v>290</v>
      </c>
      <c r="I59" s="13">
        <f>290/775</f>
        <v/>
      </c>
      <c r="J59" s="14" t="inlineStr">
        <is>
          <t>INC</t>
        </is>
      </c>
      <c r="K59" s="12" t="n">
        <v>31</v>
      </c>
      <c r="L59" s="15">
        <f>I59-F59</f>
        <v/>
      </c>
      <c r="M59" s="12" t="n">
        <v>81</v>
      </c>
      <c r="N59" s="12" t="n">
        <v>775</v>
      </c>
    </row>
    <row r="60" ht="20" customHeight="1">
      <c r="A60" s="2" t="n">
        <v>59</v>
      </c>
      <c r="B60" s="3" t="inlineStr">
        <is>
          <t>Jafarkot</t>
        </is>
      </c>
      <c r="C60" s="3" t="inlineStr">
        <is>
          <t>ਜਾਫ਼ਰਕੋਟ</t>
        </is>
      </c>
      <c r="D60" s="4" t="inlineStr">
        <is>
          <t>Gained in 2024 (New Win)</t>
        </is>
      </c>
      <c r="E60" s="5" t="n">
        <v>115</v>
      </c>
      <c r="F60" s="6">
        <f>115/638</f>
        <v/>
      </c>
      <c r="G60" s="7" t="inlineStr">
        <is>
          <t>SAD</t>
        </is>
      </c>
      <c r="H60" s="5" t="n">
        <v>175</v>
      </c>
      <c r="I60" s="6">
        <f>175/551</f>
        <v/>
      </c>
      <c r="J60" s="7" t="inlineStr">
        <is>
          <t>INC</t>
        </is>
      </c>
      <c r="K60" s="5" t="n">
        <v>60</v>
      </c>
      <c r="L60" s="8">
        <f>I60-F60</f>
        <v/>
      </c>
      <c r="M60" s="5" t="n">
        <v>1</v>
      </c>
      <c r="N60" s="5" t="n">
        <v>551</v>
      </c>
    </row>
    <row r="61" ht="20" customHeight="1">
      <c r="A61" s="9" t="n">
        <v>60</v>
      </c>
      <c r="B61" s="10" t="inlineStr">
        <is>
          <t>Poonga</t>
        </is>
      </c>
      <c r="C61" s="10" t="inlineStr">
        <is>
          <t>ਪੂੰਗਾ</t>
        </is>
      </c>
      <c r="D61" s="11" t="inlineStr">
        <is>
          <t>Won Both Times (Stronghold)</t>
        </is>
      </c>
      <c r="E61" s="12" t="n">
        <v>179</v>
      </c>
      <c r="F61" s="13">
        <f>179/514</f>
        <v/>
      </c>
      <c r="G61" s="14" t="inlineStr">
        <is>
          <t>INC</t>
        </is>
      </c>
      <c r="H61" s="12" t="n">
        <v>152</v>
      </c>
      <c r="I61" s="13">
        <f>152/490</f>
        <v/>
      </c>
      <c r="J61" s="14" t="inlineStr">
        <is>
          <t>INC</t>
        </is>
      </c>
      <c r="K61" s="12" t="n">
        <v>-27</v>
      </c>
      <c r="L61" s="15">
        <f>I61-F61</f>
        <v/>
      </c>
      <c r="M61" s="12" t="n">
        <v>30</v>
      </c>
      <c r="N61" s="12" t="n">
        <v>490</v>
      </c>
    </row>
    <row r="62" ht="20" customHeight="1">
      <c r="A62" s="2" t="n">
        <v>61</v>
      </c>
      <c r="B62" s="3" t="inlineStr">
        <is>
          <t>Chakk Aoul</t>
        </is>
      </c>
      <c r="C62" s="3" t="inlineStr">
        <is>
          <t>ਚੱਕ ਔਲ</t>
        </is>
      </c>
      <c r="D62" s="4" t="inlineStr">
        <is>
          <t>Gained in 2024 (New Win)</t>
        </is>
      </c>
      <c r="E62" s="5" t="n">
        <v>197</v>
      </c>
      <c r="F62" s="6">
        <f>197/754</f>
        <v/>
      </c>
      <c r="G62" s="7" t="inlineStr">
        <is>
          <t>AAP</t>
        </is>
      </c>
      <c r="H62" s="5" t="n">
        <v>219</v>
      </c>
      <c r="I62" s="6">
        <f>219/676</f>
        <v/>
      </c>
      <c r="J62" s="7" t="inlineStr">
        <is>
          <t>INC</t>
        </is>
      </c>
      <c r="K62" s="5" t="n">
        <v>22</v>
      </c>
      <c r="L62" s="8">
        <f>I62-F62</f>
        <v/>
      </c>
      <c r="M62" s="5" t="n">
        <v>11</v>
      </c>
      <c r="N62" s="5" t="n">
        <v>676</v>
      </c>
    </row>
    <row r="63" ht="20" customHeight="1">
      <c r="A63" s="9" t="n">
        <v>62</v>
      </c>
      <c r="B63" s="10" t="inlineStr">
        <is>
          <t>Vanjhan Wala</t>
        </is>
      </c>
      <c r="C63" s="10" t="inlineStr">
        <is>
          <t>ਵੰਝਾਂ ਵਾਲਾ</t>
        </is>
      </c>
      <c r="D63" s="17" t="inlineStr">
        <is>
          <t>Lost Both Times (Deficit)</t>
        </is>
      </c>
      <c r="E63" s="12" t="n">
        <v>198</v>
      </c>
      <c r="F63" s="13">
        <f>198/608</f>
        <v/>
      </c>
      <c r="G63" s="14" t="inlineStr">
        <is>
          <t>SAD</t>
        </is>
      </c>
      <c r="H63" s="12" t="n">
        <v>124</v>
      </c>
      <c r="I63" s="13">
        <f>124/585</f>
        <v/>
      </c>
      <c r="J63" s="14" t="inlineStr">
        <is>
          <t>AAP</t>
        </is>
      </c>
      <c r="K63" s="12" t="n">
        <v>-74</v>
      </c>
      <c r="L63" s="15">
        <f>I63-F63</f>
        <v/>
      </c>
      <c r="M63" s="12" t="n">
        <v>179</v>
      </c>
      <c r="N63" s="12" t="n">
        <v>585</v>
      </c>
    </row>
    <row r="64" ht="20" customHeight="1">
      <c r="A64" s="2" t="n">
        <v>63</v>
      </c>
      <c r="B64" s="3" t="inlineStr">
        <is>
          <t>Nangal Vanjhan Wala</t>
        </is>
      </c>
      <c r="C64" s="3" t="inlineStr">
        <is>
          <t>ਨੰਗਲ ਵੰਝਾਂ ਵਾਲਾ</t>
        </is>
      </c>
      <c r="D64" s="17" t="inlineStr">
        <is>
          <t>Lost Both Times (Deficit)</t>
        </is>
      </c>
      <c r="E64" s="5" t="n">
        <v>249</v>
      </c>
      <c r="F64" s="6">
        <f>249/834</f>
        <v/>
      </c>
      <c r="G64" s="7" t="inlineStr">
        <is>
          <t>AAP</t>
        </is>
      </c>
      <c r="H64" s="5" t="n">
        <v>167</v>
      </c>
      <c r="I64" s="6">
        <f>167/727</f>
        <v/>
      </c>
      <c r="J64" s="7" t="inlineStr">
        <is>
          <t>AAP</t>
        </is>
      </c>
      <c r="K64" s="5" t="n">
        <v>-82</v>
      </c>
      <c r="L64" s="8">
        <f>I64-F64</f>
        <v/>
      </c>
      <c r="M64" s="5" t="n">
        <v>91</v>
      </c>
      <c r="N64" s="5" t="n">
        <v>727</v>
      </c>
    </row>
    <row r="65" ht="20" customHeight="1">
      <c r="A65" s="9" t="n">
        <v>64</v>
      </c>
      <c r="B65" s="10" t="inlineStr">
        <is>
          <t>Talwandi Raidadu</t>
        </is>
      </c>
      <c r="C65" s="10" t="inlineStr">
        <is>
          <t>ਤਲਵੰਡੀ ਰਾਇਦਾਦੂ</t>
        </is>
      </c>
      <c r="D65" s="18" t="inlineStr">
        <is>
          <t>Weak Booth (&lt; 20% Share)</t>
        </is>
      </c>
      <c r="E65" s="12" t="n">
        <v>294</v>
      </c>
      <c r="F65" s="13">
        <f>294/810</f>
        <v/>
      </c>
      <c r="G65" s="14" t="inlineStr">
        <is>
          <t>SAD</t>
        </is>
      </c>
      <c r="H65" s="12" t="n">
        <v>102</v>
      </c>
      <c r="I65" s="13">
        <f>102/811</f>
        <v/>
      </c>
      <c r="J65" s="14" t="inlineStr">
        <is>
          <t>AAP</t>
        </is>
      </c>
      <c r="K65" s="12" t="n">
        <v>-192</v>
      </c>
      <c r="L65" s="15">
        <f>I65-F65</f>
        <v/>
      </c>
      <c r="M65" s="12" t="n">
        <v>61</v>
      </c>
      <c r="N65" s="12" t="n">
        <v>811</v>
      </c>
    </row>
    <row r="66" ht="20" customHeight="1">
      <c r="A66" s="2" t="n">
        <v>65</v>
      </c>
      <c r="B66" s="3" t="inlineStr">
        <is>
          <t>Fatewal</t>
        </is>
      </c>
      <c r="C66" s="3" t="inlineStr">
        <is>
          <t>ਫਤੇਹਵਾਲ</t>
        </is>
      </c>
      <c r="D66" s="18" t="inlineStr">
        <is>
          <t>Weak Booth (&lt; 20% Share)</t>
        </is>
      </c>
      <c r="E66" s="5" t="n">
        <v>142</v>
      </c>
      <c r="F66" s="6">
        <f>142/782</f>
        <v/>
      </c>
      <c r="G66" s="7" t="inlineStr">
        <is>
          <t>SAD</t>
        </is>
      </c>
      <c r="H66" s="5" t="n">
        <v>128</v>
      </c>
      <c r="I66" s="6">
        <f>128/727</f>
        <v/>
      </c>
      <c r="J66" s="7" t="inlineStr">
        <is>
          <t>AAP</t>
        </is>
      </c>
      <c r="K66" s="5" t="n">
        <v>-14</v>
      </c>
      <c r="L66" s="8">
        <f>I66-F66</f>
        <v/>
      </c>
      <c r="M66" s="5" t="n">
        <v>160</v>
      </c>
      <c r="N66" s="5" t="n">
        <v>727</v>
      </c>
    </row>
    <row r="67" ht="20" customHeight="1">
      <c r="A67" s="9" t="n">
        <v>66</v>
      </c>
      <c r="B67" s="10" t="inlineStr">
        <is>
          <t>Sarangdev</t>
        </is>
      </c>
      <c r="C67" s="10" t="inlineStr">
        <is>
          <t>ਸਾਰੰਗਦੇਵ</t>
        </is>
      </c>
      <c r="D67" s="4" t="inlineStr">
        <is>
          <t>Gained in 2024 (New Win)</t>
        </is>
      </c>
      <c r="E67" s="12" t="n">
        <v>246</v>
      </c>
      <c r="F67" s="13">
        <f>246/859</f>
        <v/>
      </c>
      <c r="G67" s="14" t="inlineStr">
        <is>
          <t>AAP</t>
        </is>
      </c>
      <c r="H67" s="12" t="n">
        <v>293</v>
      </c>
      <c r="I67" s="13">
        <f>293/770</f>
        <v/>
      </c>
      <c r="J67" s="14" t="inlineStr">
        <is>
          <t>INC</t>
        </is>
      </c>
      <c r="K67" s="12" t="n">
        <v>47</v>
      </c>
      <c r="L67" s="15">
        <f>I67-F67</f>
        <v/>
      </c>
      <c r="M67" s="12" t="n">
        <v>62</v>
      </c>
      <c r="N67" s="12" t="n">
        <v>770</v>
      </c>
    </row>
    <row r="68" ht="20" customHeight="1">
      <c r="A68" s="2" t="n">
        <v>67</v>
      </c>
      <c r="B68" s="3" t="inlineStr">
        <is>
          <t>Sarangdev</t>
        </is>
      </c>
      <c r="C68" s="3" t="inlineStr">
        <is>
          <t>ਸਾਰੰਗਦੇਵ</t>
        </is>
      </c>
      <c r="D68" s="17" t="inlineStr">
        <is>
          <t>Lost Both Times (Deficit)</t>
        </is>
      </c>
      <c r="E68" s="5" t="n">
        <v>190</v>
      </c>
      <c r="F68" s="6">
        <f>190/692</f>
        <v/>
      </c>
      <c r="G68" s="7" t="inlineStr">
        <is>
          <t>AAP</t>
        </is>
      </c>
      <c r="H68" s="5" t="n">
        <v>142</v>
      </c>
      <c r="I68" s="6">
        <f>142/634</f>
        <v/>
      </c>
      <c r="J68" s="7" t="inlineStr">
        <is>
          <t>BJP</t>
        </is>
      </c>
      <c r="K68" s="5" t="n">
        <v>-48</v>
      </c>
      <c r="L68" s="8">
        <f>I68-F68</f>
        <v/>
      </c>
      <c r="M68" s="5" t="n">
        <v>80</v>
      </c>
      <c r="N68" s="5" t="n">
        <v>634</v>
      </c>
    </row>
    <row r="69" ht="20" customHeight="1">
      <c r="A69" s="9" t="n">
        <v>68</v>
      </c>
      <c r="B69" s="10" t="inlineStr">
        <is>
          <t>Sarangdev</t>
        </is>
      </c>
      <c r="C69" s="10" t="inlineStr">
        <is>
          <t>ਸਾਰੰਗਦੇਵ</t>
        </is>
      </c>
      <c r="D69" s="17" t="inlineStr">
        <is>
          <t>Lost Both Times (Deficit)</t>
        </is>
      </c>
      <c r="E69" s="12" t="n">
        <v>97</v>
      </c>
      <c r="F69" s="13">
        <f>97/371</f>
        <v/>
      </c>
      <c r="G69" s="14" t="inlineStr">
        <is>
          <t>AAP</t>
        </is>
      </c>
      <c r="H69" s="12" t="n">
        <v>96</v>
      </c>
      <c r="I69" s="13">
        <f>96/329</f>
        <v/>
      </c>
      <c r="J69" s="14" t="inlineStr">
        <is>
          <t>AAP</t>
        </is>
      </c>
      <c r="K69" s="12" t="n">
        <v>-1</v>
      </c>
      <c r="L69" s="15">
        <f>I69-F69</f>
        <v/>
      </c>
      <c r="M69" s="12" t="n">
        <v>9</v>
      </c>
      <c r="N69" s="12" t="n">
        <v>329</v>
      </c>
    </row>
    <row r="70" ht="20" customHeight="1">
      <c r="A70" s="2" t="n">
        <v>69</v>
      </c>
      <c r="B70" s="3" t="inlineStr">
        <is>
          <t>Basti Dabar</t>
        </is>
      </c>
      <c r="C70" s="3" t="inlineStr">
        <is>
          <t>ਬਸਤੀ ਡਬਰ</t>
        </is>
      </c>
      <c r="D70" s="4" t="inlineStr">
        <is>
          <t>Gained in 2024 (New Win)</t>
        </is>
      </c>
      <c r="E70" s="5" t="n">
        <v>138</v>
      </c>
      <c r="F70" s="6">
        <f>138/407</f>
        <v/>
      </c>
      <c r="G70" s="7" t="inlineStr">
        <is>
          <t>SAD</t>
        </is>
      </c>
      <c r="H70" s="5" t="n">
        <v>129</v>
      </c>
      <c r="I70" s="6">
        <f>129/353</f>
        <v/>
      </c>
      <c r="J70" s="7" t="inlineStr">
        <is>
          <t>INC</t>
        </is>
      </c>
      <c r="K70" s="5" t="n">
        <v>-9</v>
      </c>
      <c r="L70" s="8">
        <f>I70-F70</f>
        <v/>
      </c>
      <c r="M70" s="5" t="n">
        <v>22</v>
      </c>
      <c r="N70" s="5" t="n">
        <v>353</v>
      </c>
    </row>
    <row r="71" ht="20" customHeight="1">
      <c r="A71" s="9" t="n">
        <v>70</v>
      </c>
      <c r="B71" s="10" t="inlineStr">
        <is>
          <t>Granthgarh</t>
        </is>
      </c>
      <c r="C71" s="10" t="inlineStr">
        <is>
          <t>ਗ੍ਰੰਥਗੜ੍ਹ</t>
        </is>
      </c>
      <c r="D71" s="4" t="inlineStr">
        <is>
          <t>Gained in 2024 (New Win)</t>
        </is>
      </c>
      <c r="E71" s="12" t="n">
        <v>90</v>
      </c>
      <c r="F71" s="13">
        <f>90/344</f>
        <v/>
      </c>
      <c r="G71" s="14" t="inlineStr">
        <is>
          <t>SAD</t>
        </is>
      </c>
      <c r="H71" s="12" t="n">
        <v>109</v>
      </c>
      <c r="I71" s="13">
        <f>109/341</f>
        <v/>
      </c>
      <c r="J71" s="14" t="inlineStr">
        <is>
          <t>INC</t>
        </is>
      </c>
      <c r="K71" s="12" t="n">
        <v>19</v>
      </c>
      <c r="L71" s="15">
        <f>I71-F71</f>
        <v/>
      </c>
      <c r="M71" s="12" t="n">
        <v>6</v>
      </c>
      <c r="N71" s="12" t="n">
        <v>341</v>
      </c>
    </row>
    <row r="72" ht="20" customHeight="1">
      <c r="A72" s="2" t="n">
        <v>71</v>
      </c>
      <c r="B72" s="3" t="inlineStr">
        <is>
          <t>Chakk Dogra</t>
        </is>
      </c>
      <c r="C72" s="3" t="inlineStr">
        <is>
          <t>ਚੱਕ ਡੋਗਰਾ</t>
        </is>
      </c>
      <c r="D72" s="18" t="inlineStr">
        <is>
          <t>Weak Booth (&lt; 20% Share)</t>
        </is>
      </c>
      <c r="E72" s="5" t="n">
        <v>129</v>
      </c>
      <c r="F72" s="6">
        <f>129/778</f>
        <v/>
      </c>
      <c r="G72" s="7" t="inlineStr">
        <is>
          <t>AAP</t>
        </is>
      </c>
      <c r="H72" s="5" t="n">
        <v>135</v>
      </c>
      <c r="I72" s="6">
        <f>135/785</f>
        <v/>
      </c>
      <c r="J72" s="7" t="inlineStr">
        <is>
          <t>SAD</t>
        </is>
      </c>
      <c r="K72" s="5" t="n">
        <v>6</v>
      </c>
      <c r="L72" s="8">
        <f>I72-F72</f>
        <v/>
      </c>
      <c r="M72" s="5" t="n">
        <v>227</v>
      </c>
      <c r="N72" s="5" t="n">
        <v>785</v>
      </c>
    </row>
    <row r="73" ht="20" customHeight="1">
      <c r="A73" s="9" t="n">
        <v>72</v>
      </c>
      <c r="B73" s="10" t="inlineStr">
        <is>
          <t>Chakk Dogra</t>
        </is>
      </c>
      <c r="C73" s="10" t="inlineStr">
        <is>
          <t>ਚੱਕ ਡੋਗਰਾ</t>
        </is>
      </c>
      <c r="D73" s="17" t="inlineStr">
        <is>
          <t>Lost Both Times (Deficit)</t>
        </is>
      </c>
      <c r="E73" s="12" t="n">
        <v>94</v>
      </c>
      <c r="F73" s="13">
        <f>94/663</f>
        <v/>
      </c>
      <c r="G73" s="14" t="inlineStr">
        <is>
          <t>AAP</t>
        </is>
      </c>
      <c r="H73" s="12" t="n">
        <v>130</v>
      </c>
      <c r="I73" s="13">
        <f>130/590</f>
        <v/>
      </c>
      <c r="J73" s="14" t="inlineStr">
        <is>
          <t>BJP</t>
        </is>
      </c>
      <c r="K73" s="12" t="n">
        <v>36</v>
      </c>
      <c r="L73" s="15">
        <f>I73-F73</f>
        <v/>
      </c>
      <c r="M73" s="12" t="n">
        <v>70</v>
      </c>
      <c r="N73" s="12" t="n">
        <v>590</v>
      </c>
    </row>
    <row r="74" ht="20" customHeight="1">
      <c r="A74" s="2" t="n">
        <v>73</v>
      </c>
      <c r="B74" s="3" t="inlineStr">
        <is>
          <t>Lakhuwal</t>
        </is>
      </c>
      <c r="C74" s="3" t="inlineStr">
        <is>
          <t>ਲਖੂਵਾਲ</t>
        </is>
      </c>
      <c r="D74" s="16" t="inlineStr">
        <is>
          <t>Lost in 2024 (to AAP)</t>
        </is>
      </c>
      <c r="E74" s="5" t="n">
        <v>262</v>
      </c>
      <c r="F74" s="6">
        <f>262/597</f>
        <v/>
      </c>
      <c r="G74" s="7" t="inlineStr">
        <is>
          <t>INC</t>
        </is>
      </c>
      <c r="H74" s="5" t="n">
        <v>0</v>
      </c>
      <c r="I74" s="6">
        <f>0/1</f>
        <v/>
      </c>
      <c r="J74" s="7" t="inlineStr">
        <is>
          <t>AAP</t>
        </is>
      </c>
      <c r="K74" s="5" t="n">
        <v>-262</v>
      </c>
      <c r="L74" s="8">
        <f>I74-F74</f>
        <v/>
      </c>
      <c r="M74" s="5" t="n">
        <v>1</v>
      </c>
      <c r="N74" s="5" t="n">
        <v>1</v>
      </c>
    </row>
    <row r="75" ht="20" customHeight="1">
      <c r="A75" s="9" t="n">
        <v>74</v>
      </c>
      <c r="B75" s="10" t="inlineStr">
        <is>
          <t>Lakhuwal</t>
        </is>
      </c>
      <c r="C75" s="10" t="inlineStr">
        <is>
          <t>ਲਖੂਵਾਲ</t>
        </is>
      </c>
      <c r="D75" s="18" t="inlineStr">
        <is>
          <t>Weak Booth (&lt; 20% Share)</t>
        </is>
      </c>
      <c r="E75" s="12" t="n">
        <v>139</v>
      </c>
      <c r="F75" s="13">
        <f>139/439</f>
        <v/>
      </c>
      <c r="G75" s="14" t="inlineStr">
        <is>
          <t>SAD</t>
        </is>
      </c>
      <c r="H75" s="12" t="n">
        <v>0</v>
      </c>
      <c r="I75" s="13">
        <f>0/2</f>
        <v/>
      </c>
      <c r="J75" s="14" t="inlineStr">
        <is>
          <t>AAP</t>
        </is>
      </c>
      <c r="K75" s="12" t="n">
        <v>-139</v>
      </c>
      <c r="L75" s="15">
        <f>I75-F75</f>
        <v/>
      </c>
      <c r="M75" s="12" t="n">
        <v>0</v>
      </c>
      <c r="N75" s="12" t="n">
        <v>2</v>
      </c>
    </row>
    <row r="76" ht="20" customHeight="1">
      <c r="A76" s="2" t="n">
        <v>75</v>
      </c>
      <c r="B76" s="3" t="inlineStr">
        <is>
          <t>Ajnala (Ward 1)</t>
        </is>
      </c>
      <c r="C76" s="3" t="inlineStr">
        <is>
          <t>ਅਜਨਾਲਾ (ਵਾਰਡ 1)</t>
        </is>
      </c>
      <c r="D76" s="4" t="inlineStr">
        <is>
          <t>Gained in 2024 (New Win)</t>
        </is>
      </c>
      <c r="E76" s="5" t="n">
        <v>195</v>
      </c>
      <c r="F76" s="6">
        <f>195/556</f>
        <v/>
      </c>
      <c r="G76" s="7" t="inlineStr">
        <is>
          <t>SAD</t>
        </is>
      </c>
      <c r="H76" s="5" t="n">
        <v>234</v>
      </c>
      <c r="I76" s="6">
        <f>234/545</f>
        <v/>
      </c>
      <c r="J76" s="7" t="inlineStr">
        <is>
          <t>INC</t>
        </is>
      </c>
      <c r="K76" s="5" t="n">
        <v>39</v>
      </c>
      <c r="L76" s="8">
        <f>I76-F76</f>
        <v/>
      </c>
      <c r="M76" s="5" t="n">
        <v>74</v>
      </c>
      <c r="N76" s="5" t="n">
        <v>545</v>
      </c>
    </row>
    <row r="77" ht="20" customHeight="1">
      <c r="A77" s="9" t="n">
        <v>76</v>
      </c>
      <c r="B77" s="10" t="inlineStr">
        <is>
          <t>Ajnala (Ward 2)</t>
        </is>
      </c>
      <c r="C77" s="10" t="inlineStr">
        <is>
          <t>ਅਜਨਾਲਾ (ਵਾਰਡ 2)</t>
        </is>
      </c>
      <c r="D77" s="17" t="inlineStr">
        <is>
          <t>Lost Both Times (Deficit)</t>
        </is>
      </c>
      <c r="E77" s="12" t="n">
        <v>130</v>
      </c>
      <c r="F77" s="13">
        <f>130/490</f>
        <v/>
      </c>
      <c r="G77" s="14" t="inlineStr">
        <is>
          <t>SAD</t>
        </is>
      </c>
      <c r="H77" s="12" t="n">
        <v>133</v>
      </c>
      <c r="I77" s="13">
        <f>133/429</f>
        <v/>
      </c>
      <c r="J77" s="14" t="inlineStr">
        <is>
          <t>AAP</t>
        </is>
      </c>
      <c r="K77" s="12" t="n">
        <v>3</v>
      </c>
      <c r="L77" s="15">
        <f>I77-F77</f>
        <v/>
      </c>
      <c r="M77" s="12" t="n">
        <v>73</v>
      </c>
      <c r="N77" s="12" t="n">
        <v>429</v>
      </c>
    </row>
    <row r="78" ht="20" customHeight="1">
      <c r="A78" s="2" t="n">
        <v>77</v>
      </c>
      <c r="B78" s="3" t="inlineStr">
        <is>
          <t>Ajnala (Ward 3)</t>
        </is>
      </c>
      <c r="C78" s="3" t="inlineStr">
        <is>
          <t>ਅਜਨਾਲਾ (ਵਾਰਡ 3)</t>
        </is>
      </c>
      <c r="D78" s="18" t="inlineStr">
        <is>
          <t>Weak Booth (&lt; 20% Share)</t>
        </is>
      </c>
      <c r="E78" s="5" t="n">
        <v>175</v>
      </c>
      <c r="F78" s="6">
        <f>175/747</f>
        <v/>
      </c>
      <c r="G78" s="7" t="inlineStr">
        <is>
          <t>SAD</t>
        </is>
      </c>
      <c r="H78" s="5" t="n">
        <v>100</v>
      </c>
      <c r="I78" s="6">
        <f>100/698</f>
        <v/>
      </c>
      <c r="J78" s="7" t="inlineStr">
        <is>
          <t>BJP</t>
        </is>
      </c>
      <c r="K78" s="5" t="n">
        <v>-75</v>
      </c>
      <c r="L78" s="8">
        <f>I78-F78</f>
        <v/>
      </c>
      <c r="M78" s="5" t="n">
        <v>358</v>
      </c>
      <c r="N78" s="5" t="n">
        <v>698</v>
      </c>
    </row>
    <row r="79" ht="20" customHeight="1">
      <c r="A79" s="9" t="n">
        <v>78</v>
      </c>
      <c r="B79" s="10" t="inlineStr">
        <is>
          <t>Ajnala (Ward 4)</t>
        </is>
      </c>
      <c r="C79" s="10" t="inlineStr">
        <is>
          <t>ਅਜਨਾਲਾ (ਵਾਰਡ 4)</t>
        </is>
      </c>
      <c r="D79" s="4" t="inlineStr">
        <is>
          <t>Gained in 2024 (New Win)</t>
        </is>
      </c>
      <c r="E79" s="12" t="n">
        <v>155</v>
      </c>
      <c r="F79" s="13">
        <f>155/869</f>
        <v/>
      </c>
      <c r="G79" s="14" t="inlineStr">
        <is>
          <t>AAP</t>
        </is>
      </c>
      <c r="H79" s="12" t="n">
        <v>191</v>
      </c>
      <c r="I79" s="13">
        <f>191/764</f>
        <v/>
      </c>
      <c r="J79" s="14" t="inlineStr">
        <is>
          <t>INC</t>
        </is>
      </c>
      <c r="K79" s="12" t="n">
        <v>36</v>
      </c>
      <c r="L79" s="15">
        <f>I79-F79</f>
        <v/>
      </c>
      <c r="M79" s="12" t="n">
        <v>9</v>
      </c>
      <c r="N79" s="12" t="n">
        <v>764</v>
      </c>
    </row>
    <row r="80" ht="20" customHeight="1">
      <c r="A80" s="2" t="n">
        <v>79</v>
      </c>
      <c r="B80" s="3" t="inlineStr">
        <is>
          <t>Ajnala (Ward 5)</t>
        </is>
      </c>
      <c r="C80" s="3" t="inlineStr">
        <is>
          <t>ਅਜਨਾਲਾ (ਵਾਰਡ 5)</t>
        </is>
      </c>
      <c r="D80" s="18" t="inlineStr">
        <is>
          <t>Weak Booth (&lt; 20% Share)</t>
        </is>
      </c>
      <c r="E80" s="5" t="n">
        <v>203</v>
      </c>
      <c r="F80" s="6">
        <f>203/715</f>
        <v/>
      </c>
      <c r="G80" s="7" t="inlineStr">
        <is>
          <t>SAD</t>
        </is>
      </c>
      <c r="H80" s="5" t="n">
        <v>114</v>
      </c>
      <c r="I80" s="6">
        <f>114/675</f>
        <v/>
      </c>
      <c r="J80" s="7" t="inlineStr">
        <is>
          <t>BJP</t>
        </is>
      </c>
      <c r="K80" s="5" t="n">
        <v>-89</v>
      </c>
      <c r="L80" s="8">
        <f>I80-F80</f>
        <v/>
      </c>
      <c r="M80" s="5" t="n">
        <v>117</v>
      </c>
      <c r="N80" s="5" t="n">
        <v>675</v>
      </c>
    </row>
    <row r="81" ht="20" customHeight="1">
      <c r="A81" s="9" t="n">
        <v>80</v>
      </c>
      <c r="B81" s="10" t="inlineStr">
        <is>
          <t>Ajnala (Ward 6)</t>
        </is>
      </c>
      <c r="C81" s="10" t="inlineStr">
        <is>
          <t>ਅਜਨਾਲਾ (ਵਾਰਡ 6)</t>
        </is>
      </c>
      <c r="D81" s="18" t="inlineStr">
        <is>
          <t>Weak Booth (&lt; 20% Share)</t>
        </is>
      </c>
      <c r="E81" s="12" t="n">
        <v>217</v>
      </c>
      <c r="F81" s="13">
        <f>217/853</f>
        <v/>
      </c>
      <c r="G81" s="14" t="inlineStr">
        <is>
          <t>SAD</t>
        </is>
      </c>
      <c r="H81" s="12" t="n">
        <v>140</v>
      </c>
      <c r="I81" s="13">
        <f>140/732</f>
        <v/>
      </c>
      <c r="J81" s="14" t="inlineStr">
        <is>
          <t>BJP</t>
        </is>
      </c>
      <c r="K81" s="12" t="n">
        <v>-77</v>
      </c>
      <c r="L81" s="15">
        <f>I81-F81</f>
        <v/>
      </c>
      <c r="M81" s="12" t="n">
        <v>227</v>
      </c>
      <c r="N81" s="12" t="n">
        <v>732</v>
      </c>
    </row>
    <row r="82" ht="20" customHeight="1">
      <c r="A82" s="2" t="n">
        <v>81</v>
      </c>
      <c r="B82" s="3" t="inlineStr">
        <is>
          <t>Ajnala (Ward 7)</t>
        </is>
      </c>
      <c r="C82" s="3" t="inlineStr">
        <is>
          <t>ਅਜਨਾਲਾ (ਵਾਰਡ 7)</t>
        </is>
      </c>
      <c r="D82" s="18" t="inlineStr">
        <is>
          <t>Weak Booth (&lt; 20% Share)</t>
        </is>
      </c>
      <c r="E82" s="5" t="n">
        <v>187</v>
      </c>
      <c r="F82" s="6">
        <f>187/674</f>
        <v/>
      </c>
      <c r="G82" s="7" t="inlineStr">
        <is>
          <t>SAD</t>
        </is>
      </c>
      <c r="H82" s="5" t="n">
        <v>115</v>
      </c>
      <c r="I82" s="6">
        <f>115/622</f>
        <v/>
      </c>
      <c r="J82" s="7" t="inlineStr">
        <is>
          <t>BJP</t>
        </is>
      </c>
      <c r="K82" s="5" t="n">
        <v>-72</v>
      </c>
      <c r="L82" s="8">
        <f>I82-F82</f>
        <v/>
      </c>
      <c r="M82" s="5" t="n">
        <v>74</v>
      </c>
      <c r="N82" s="5" t="n">
        <v>622</v>
      </c>
    </row>
    <row r="83" ht="20" customHeight="1">
      <c r="A83" s="9" t="n">
        <v>82</v>
      </c>
      <c r="B83" s="10" t="inlineStr">
        <is>
          <t>Ajnala (Ward 8)</t>
        </is>
      </c>
      <c r="C83" s="10" t="inlineStr">
        <is>
          <t>ਅਜਨਾਲਾ (ਵਾਰਡ 8)</t>
        </is>
      </c>
      <c r="D83" s="11" t="inlineStr">
        <is>
          <t>Won Both Times (Stronghold)</t>
        </is>
      </c>
      <c r="E83" s="12" t="n">
        <v>314</v>
      </c>
      <c r="F83" s="13">
        <f>314/771</f>
        <v/>
      </c>
      <c r="G83" s="14" t="inlineStr">
        <is>
          <t>INC</t>
        </is>
      </c>
      <c r="H83" s="12" t="n">
        <v>311</v>
      </c>
      <c r="I83" s="13">
        <f>311/738</f>
        <v/>
      </c>
      <c r="J83" s="14" t="inlineStr">
        <is>
          <t>INC</t>
        </is>
      </c>
      <c r="K83" s="12" t="n">
        <v>-3</v>
      </c>
      <c r="L83" s="15">
        <f>I83-F83</f>
        <v/>
      </c>
      <c r="M83" s="12" t="n">
        <v>78</v>
      </c>
      <c r="N83" s="12" t="n">
        <v>738</v>
      </c>
    </row>
    <row r="84" ht="20" customHeight="1">
      <c r="A84" s="2" t="n">
        <v>83</v>
      </c>
      <c r="B84" s="3" t="inlineStr">
        <is>
          <t>Ajnala (Ward 9)</t>
        </is>
      </c>
      <c r="C84" s="3" t="inlineStr">
        <is>
          <t>ਅਜਨਾਲਾ (ਵਾਰਡ 9)</t>
        </is>
      </c>
      <c r="D84" s="18" t="inlineStr">
        <is>
          <t>Weak Booth (&lt; 20% Share)</t>
        </is>
      </c>
      <c r="E84" s="5" t="n">
        <v>160</v>
      </c>
      <c r="F84" s="6">
        <f>160/600</f>
        <v/>
      </c>
      <c r="G84" s="7" t="inlineStr">
        <is>
          <t>AAP</t>
        </is>
      </c>
      <c r="H84" s="5" t="n">
        <v>109</v>
      </c>
      <c r="I84" s="6">
        <f>109/637</f>
        <v/>
      </c>
      <c r="J84" s="7" t="inlineStr">
        <is>
          <t>AAP</t>
        </is>
      </c>
      <c r="K84" s="5" t="n">
        <v>-51</v>
      </c>
      <c r="L84" s="8">
        <f>I84-F84</f>
        <v/>
      </c>
      <c r="M84" s="5" t="n">
        <v>89</v>
      </c>
      <c r="N84" s="5" t="n">
        <v>637</v>
      </c>
    </row>
    <row r="85" ht="20" customHeight="1">
      <c r="A85" s="9" t="n">
        <v>84</v>
      </c>
      <c r="B85" s="10" t="inlineStr">
        <is>
          <t>Ajnala (Ward 10)</t>
        </is>
      </c>
      <c r="C85" s="10" t="inlineStr">
        <is>
          <t>ਅਜਨਾਲਾ (ਵਾਰਡ 10)</t>
        </is>
      </c>
      <c r="D85" s="17" t="inlineStr">
        <is>
          <t>Lost Both Times (Deficit)</t>
        </is>
      </c>
      <c r="E85" s="12" t="n">
        <v>161</v>
      </c>
      <c r="F85" s="13">
        <f>161/852</f>
        <v/>
      </c>
      <c r="G85" s="14" t="inlineStr">
        <is>
          <t>AAP</t>
        </is>
      </c>
      <c r="H85" s="12" t="n">
        <v>177</v>
      </c>
      <c r="I85" s="13">
        <f>177/682</f>
        <v/>
      </c>
      <c r="J85" s="14" t="inlineStr">
        <is>
          <t>AAP</t>
        </is>
      </c>
      <c r="K85" s="12" t="n">
        <v>16</v>
      </c>
      <c r="L85" s="15">
        <f>I85-F85</f>
        <v/>
      </c>
      <c r="M85" s="12" t="n">
        <v>65</v>
      </c>
      <c r="N85" s="12" t="n">
        <v>682</v>
      </c>
    </row>
    <row r="86" ht="20" customHeight="1">
      <c r="A86" s="2" t="n">
        <v>85</v>
      </c>
      <c r="B86" s="3" t="inlineStr">
        <is>
          <t>Ajnala (Ward 11)</t>
        </is>
      </c>
      <c r="C86" s="3" t="inlineStr">
        <is>
          <t>ਅਜਨਾਲਾ (ਵਾਰਡ 11)</t>
        </is>
      </c>
      <c r="D86" s="17" t="inlineStr">
        <is>
          <t>Lost Both Times (Deficit)</t>
        </is>
      </c>
      <c r="E86" s="5" t="n">
        <v>134</v>
      </c>
      <c r="F86" s="6">
        <f>134/650</f>
        <v/>
      </c>
      <c r="G86" s="7" t="inlineStr">
        <is>
          <t>SAD</t>
        </is>
      </c>
      <c r="H86" s="5" t="n">
        <v>201</v>
      </c>
      <c r="I86" s="6">
        <f>201/611</f>
        <v/>
      </c>
      <c r="J86" s="7" t="inlineStr">
        <is>
          <t>AAP</t>
        </is>
      </c>
      <c r="K86" s="5" t="n">
        <v>67</v>
      </c>
      <c r="L86" s="8">
        <f>I86-F86</f>
        <v/>
      </c>
      <c r="M86" s="5" t="n">
        <v>51</v>
      </c>
      <c r="N86" s="5" t="n">
        <v>611</v>
      </c>
    </row>
    <row r="87" ht="20" customHeight="1">
      <c r="A87" s="9" t="n">
        <v>86</v>
      </c>
      <c r="B87" s="10" t="inlineStr">
        <is>
          <t>Ajnala (Ward 12)</t>
        </is>
      </c>
      <c r="C87" s="10" t="inlineStr">
        <is>
          <t>ਅਜਨਾਲਾ (ਵਾਰਡ 12)</t>
        </is>
      </c>
      <c r="D87" s="17" t="inlineStr">
        <is>
          <t>Lost Both Times (Deficit)</t>
        </is>
      </c>
      <c r="E87" s="12" t="n">
        <v>140</v>
      </c>
      <c r="F87" s="13">
        <f>140/536</f>
        <v/>
      </c>
      <c r="G87" s="14" t="inlineStr">
        <is>
          <t>AAP</t>
        </is>
      </c>
      <c r="H87" s="12" t="n">
        <v>127</v>
      </c>
      <c r="I87" s="13">
        <f>127/492</f>
        <v/>
      </c>
      <c r="J87" s="14" t="inlineStr">
        <is>
          <t>BJP</t>
        </is>
      </c>
      <c r="K87" s="12" t="n">
        <v>-13</v>
      </c>
      <c r="L87" s="15">
        <f>I87-F87</f>
        <v/>
      </c>
      <c r="M87" s="12" t="n">
        <v>34</v>
      </c>
      <c r="N87" s="12" t="n">
        <v>492</v>
      </c>
    </row>
    <row r="88" ht="20" customHeight="1">
      <c r="A88" s="2" t="n">
        <v>87</v>
      </c>
      <c r="B88" s="3" t="inlineStr">
        <is>
          <t>Ajnala (Ward 13)</t>
        </is>
      </c>
      <c r="C88" s="3" t="inlineStr">
        <is>
          <t>ਅਜਨਾਲਾ (ਵਾਰਡ 13)</t>
        </is>
      </c>
      <c r="D88" s="18" t="inlineStr">
        <is>
          <t>Weak Booth (&lt; 20% Share)</t>
        </is>
      </c>
      <c r="E88" s="5" t="n">
        <v>62</v>
      </c>
      <c r="F88" s="6">
        <f>62/413</f>
        <v/>
      </c>
      <c r="G88" s="7" t="inlineStr">
        <is>
          <t>AAP</t>
        </is>
      </c>
      <c r="H88" s="5" t="n">
        <v>68</v>
      </c>
      <c r="I88" s="6">
        <f>68/361</f>
        <v/>
      </c>
      <c r="J88" s="7" t="inlineStr">
        <is>
          <t>AAP</t>
        </is>
      </c>
      <c r="K88" s="5" t="n">
        <v>6</v>
      </c>
      <c r="L88" s="8">
        <f>I88-F88</f>
        <v/>
      </c>
      <c r="M88" s="5" t="n">
        <v>8</v>
      </c>
      <c r="N88" s="5" t="n">
        <v>361</v>
      </c>
    </row>
    <row r="89" ht="20" customHeight="1">
      <c r="A89" s="9" t="n">
        <v>88</v>
      </c>
      <c r="B89" s="10" t="inlineStr">
        <is>
          <t>Ajnala (Ward 14)</t>
        </is>
      </c>
      <c r="C89" s="10" t="inlineStr">
        <is>
          <t>ਅਜਨਾਲਾ (ਵਾਰਡ 14)</t>
        </is>
      </c>
      <c r="D89" s="18" t="inlineStr">
        <is>
          <t>Weak Booth (&lt; 20% Share)</t>
        </is>
      </c>
      <c r="E89" s="12" t="n">
        <v>65</v>
      </c>
      <c r="F89" s="13">
        <f>65/486</f>
        <v/>
      </c>
      <c r="G89" s="14" t="inlineStr">
        <is>
          <t>AAP</t>
        </is>
      </c>
      <c r="H89" s="12" t="n">
        <v>86</v>
      </c>
      <c r="I89" s="13">
        <f>86/485</f>
        <v/>
      </c>
      <c r="J89" s="14" t="inlineStr">
        <is>
          <t>BJP</t>
        </is>
      </c>
      <c r="K89" s="12" t="n">
        <v>21</v>
      </c>
      <c r="L89" s="15">
        <f>I89-F89</f>
        <v/>
      </c>
      <c r="M89" s="12" t="n">
        <v>22</v>
      </c>
      <c r="N89" s="12" t="n">
        <v>485</v>
      </c>
    </row>
    <row r="90" ht="20" customHeight="1">
      <c r="A90" s="2" t="n">
        <v>89</v>
      </c>
      <c r="B90" s="3" t="inlineStr">
        <is>
          <t>Ajnala (Ward 15)</t>
        </is>
      </c>
      <c r="C90" s="3" t="inlineStr">
        <is>
          <t>ਅਜਨਾਲਾ (ਵਾਰਡ 15)</t>
        </is>
      </c>
      <c r="D90" s="18" t="inlineStr">
        <is>
          <t>Weak Booth (&lt; 20% Share)</t>
        </is>
      </c>
      <c r="E90" s="5" t="n">
        <v>124</v>
      </c>
      <c r="F90" s="6">
        <f>124/436</f>
        <v/>
      </c>
      <c r="G90" s="7" t="inlineStr">
        <is>
          <t>SAD</t>
        </is>
      </c>
      <c r="H90" s="5" t="n">
        <v>69</v>
      </c>
      <c r="I90" s="6">
        <f>69/390</f>
        <v/>
      </c>
      <c r="J90" s="7" t="inlineStr">
        <is>
          <t>BJP</t>
        </is>
      </c>
      <c r="K90" s="5" t="n">
        <v>-55</v>
      </c>
      <c r="L90" s="8">
        <f>I90-F90</f>
        <v/>
      </c>
      <c r="M90" s="5" t="n">
        <v>12</v>
      </c>
      <c r="N90" s="5" t="n">
        <v>390</v>
      </c>
    </row>
    <row r="91" ht="20" customHeight="1">
      <c r="A91" s="9" t="n">
        <v>90</v>
      </c>
      <c r="B91" s="10" t="inlineStr">
        <is>
          <t>Ajnala (Tehsil/Civil)</t>
        </is>
      </c>
      <c r="C91" s="10" t="inlineStr">
        <is>
          <t>ਅਜਨਾਲਾ (ਤਹਿਸੀਲ/ਸਿਵਲ)</t>
        </is>
      </c>
      <c r="D91" s="17" t="inlineStr">
        <is>
          <t>Lost Both Times (Deficit)</t>
        </is>
      </c>
      <c r="E91" s="12" t="n">
        <v>187</v>
      </c>
      <c r="F91" s="13">
        <f>187/945</f>
        <v/>
      </c>
      <c r="G91" s="14" t="inlineStr">
        <is>
          <t>AAP</t>
        </is>
      </c>
      <c r="H91" s="12" t="n">
        <v>191</v>
      </c>
      <c r="I91" s="13">
        <f>191/854</f>
        <v/>
      </c>
      <c r="J91" s="14" t="inlineStr">
        <is>
          <t>AAP</t>
        </is>
      </c>
      <c r="K91" s="12" t="n">
        <v>4</v>
      </c>
      <c r="L91" s="15">
        <f>I91-F91</f>
        <v/>
      </c>
      <c r="M91" s="12" t="n">
        <v>167</v>
      </c>
      <c r="N91" s="12" t="n">
        <v>854</v>
      </c>
    </row>
    <row r="92" ht="20" customHeight="1">
      <c r="A92" s="2" t="n">
        <v>91</v>
      </c>
      <c r="B92" s="3" t="inlineStr">
        <is>
          <t>Sarai</t>
        </is>
      </c>
      <c r="C92" s="3" t="inlineStr">
        <is>
          <t>ਸਰਾਏ</t>
        </is>
      </c>
      <c r="D92" s="4" t="inlineStr">
        <is>
          <t>Gained in 2024 (New Win)</t>
        </is>
      </c>
      <c r="E92" s="5" t="n">
        <v>250</v>
      </c>
      <c r="F92" s="6">
        <f>250/812</f>
        <v/>
      </c>
      <c r="G92" s="7" t="inlineStr">
        <is>
          <t>SAD</t>
        </is>
      </c>
      <c r="H92" s="5" t="n">
        <v>245</v>
      </c>
      <c r="I92" s="6">
        <f>245/712</f>
        <v/>
      </c>
      <c r="J92" s="7" t="inlineStr">
        <is>
          <t>INC</t>
        </is>
      </c>
      <c r="K92" s="5" t="n">
        <v>-5</v>
      </c>
      <c r="L92" s="8">
        <f>I92-F92</f>
        <v/>
      </c>
      <c r="M92" s="5" t="n">
        <v>12</v>
      </c>
      <c r="N92" s="5" t="n">
        <v>712</v>
      </c>
    </row>
    <row r="93" ht="20" customHeight="1">
      <c r="A93" s="9" t="n">
        <v>92</v>
      </c>
      <c r="B93" s="10" t="inlineStr">
        <is>
          <t>Riar</t>
        </is>
      </c>
      <c r="C93" s="10" t="inlineStr">
        <is>
          <t>ਰੀਆੜ</t>
        </is>
      </c>
      <c r="D93" s="17" t="inlineStr">
        <is>
          <t>Lost Both Times (Deficit)</t>
        </is>
      </c>
      <c r="E93" s="12" t="n">
        <v>133</v>
      </c>
      <c r="F93" s="13">
        <f>133/555</f>
        <v/>
      </c>
      <c r="G93" s="14" t="inlineStr">
        <is>
          <t>AAP</t>
        </is>
      </c>
      <c r="H93" s="12" t="n">
        <v>136</v>
      </c>
      <c r="I93" s="13">
        <f>136/495</f>
        <v/>
      </c>
      <c r="J93" s="14" t="inlineStr">
        <is>
          <t>AAP</t>
        </is>
      </c>
      <c r="K93" s="12" t="n">
        <v>3</v>
      </c>
      <c r="L93" s="15">
        <f>I93-F93</f>
        <v/>
      </c>
      <c r="M93" s="12" t="n">
        <v>102</v>
      </c>
      <c r="N93" s="12" t="n">
        <v>495</v>
      </c>
    </row>
    <row r="94" ht="20" customHeight="1">
      <c r="A94" s="2" t="n">
        <v>93</v>
      </c>
      <c r="B94" s="3" t="inlineStr">
        <is>
          <t>Pandori Sukha Singh</t>
        </is>
      </c>
      <c r="C94" s="3" t="inlineStr">
        <is>
          <t>ਪੰਡੋਰੀ ਸੁੱਖਾ ਸਿੰਘ</t>
        </is>
      </c>
      <c r="D94" s="17" t="inlineStr">
        <is>
          <t>Lost Both Times (Deficit)</t>
        </is>
      </c>
      <c r="E94" s="5" t="n">
        <v>138</v>
      </c>
      <c r="F94" s="6">
        <f>138/458</f>
        <v/>
      </c>
      <c r="G94" s="7" t="inlineStr">
        <is>
          <t>AAP</t>
        </is>
      </c>
      <c r="H94" s="5" t="n">
        <v>94</v>
      </c>
      <c r="I94" s="6">
        <f>94/412</f>
        <v/>
      </c>
      <c r="J94" s="7" t="inlineStr">
        <is>
          <t>AAP</t>
        </is>
      </c>
      <c r="K94" s="5" t="n">
        <v>-44</v>
      </c>
      <c r="L94" s="8">
        <f>I94-F94</f>
        <v/>
      </c>
      <c r="M94" s="5" t="n">
        <v>108</v>
      </c>
      <c r="N94" s="5" t="n">
        <v>412</v>
      </c>
    </row>
    <row r="95" ht="20" customHeight="1">
      <c r="A95" s="9" t="n">
        <v>94</v>
      </c>
      <c r="B95" s="10" t="inlineStr">
        <is>
          <t>Bhakha Tara Singh</t>
        </is>
      </c>
      <c r="C95" s="10" t="inlineStr">
        <is>
          <t>ਭੱਖਾ ਤਾਰਾ ਸਿੰਘ</t>
        </is>
      </c>
      <c r="D95" s="17" t="inlineStr">
        <is>
          <t>Lost Both Times (Deficit)</t>
        </is>
      </c>
      <c r="E95" s="12" t="n">
        <v>209</v>
      </c>
      <c r="F95" s="13">
        <f>209/702</f>
        <v/>
      </c>
      <c r="G95" s="14" t="inlineStr">
        <is>
          <t>AAP</t>
        </is>
      </c>
      <c r="H95" s="12" t="n">
        <v>229</v>
      </c>
      <c r="I95" s="13">
        <f>229/672</f>
        <v/>
      </c>
      <c r="J95" s="14" t="inlineStr">
        <is>
          <t>AAP</t>
        </is>
      </c>
      <c r="K95" s="12" t="n">
        <v>20</v>
      </c>
      <c r="L95" s="15">
        <f>I95-F95</f>
        <v/>
      </c>
      <c r="M95" s="12" t="n">
        <v>38</v>
      </c>
      <c r="N95" s="12" t="n">
        <v>672</v>
      </c>
    </row>
    <row r="96" ht="20" customHeight="1">
      <c r="A96" s="2" t="n">
        <v>95</v>
      </c>
      <c r="B96" s="3" t="inlineStr">
        <is>
          <t>Bhakha Hari Singh</t>
        </is>
      </c>
      <c r="C96" s="3" t="inlineStr">
        <is>
          <t>ਭੱਖਾ ਹਰੀ ਸਿੰਘ</t>
        </is>
      </c>
      <c r="D96" s="11" t="inlineStr">
        <is>
          <t>Won Both Times (Stronghold)</t>
        </is>
      </c>
      <c r="E96" s="5" t="n">
        <v>277</v>
      </c>
      <c r="F96" s="6">
        <f>277/507</f>
        <v/>
      </c>
      <c r="G96" s="7" t="inlineStr">
        <is>
          <t>INC</t>
        </is>
      </c>
      <c r="H96" s="5" t="n">
        <v>189</v>
      </c>
      <c r="I96" s="6">
        <f>189/487</f>
        <v/>
      </c>
      <c r="J96" s="7" t="inlineStr">
        <is>
          <t>INC</t>
        </is>
      </c>
      <c r="K96" s="5" t="n">
        <v>-88</v>
      </c>
      <c r="L96" s="8">
        <f>I96-F96</f>
        <v/>
      </c>
      <c r="M96" s="5" t="n">
        <v>27</v>
      </c>
      <c r="N96" s="5" t="n">
        <v>487</v>
      </c>
    </row>
    <row r="97" ht="20" customHeight="1">
      <c r="A97" s="9" t="n">
        <v>96</v>
      </c>
      <c r="B97" s="10" t="inlineStr">
        <is>
          <t>Panj Garai Nijjran</t>
        </is>
      </c>
      <c r="C97" s="10" t="inlineStr">
        <is>
          <t>ਪੰਜ ਗਰਾਈਂ ਨਿੱਜਰਾਂ</t>
        </is>
      </c>
      <c r="D97" s="17" t="inlineStr">
        <is>
          <t>Lost Both Times (Deficit)</t>
        </is>
      </c>
      <c r="E97" s="12" t="n">
        <v>138</v>
      </c>
      <c r="F97" s="13">
        <f>138/761</f>
        <v/>
      </c>
      <c r="G97" s="14" t="inlineStr">
        <is>
          <t>AAP</t>
        </is>
      </c>
      <c r="H97" s="12" t="n">
        <v>173</v>
      </c>
      <c r="I97" s="13">
        <f>173/630</f>
        <v/>
      </c>
      <c r="J97" s="14" t="inlineStr">
        <is>
          <t>AAP</t>
        </is>
      </c>
      <c r="K97" s="12" t="n">
        <v>35</v>
      </c>
      <c r="L97" s="15">
        <f>I97-F97</f>
        <v/>
      </c>
      <c r="M97" s="12" t="n">
        <v>76</v>
      </c>
      <c r="N97" s="12" t="n">
        <v>630</v>
      </c>
    </row>
    <row r="98" ht="20" customHeight="1">
      <c r="A98" s="2" t="n">
        <v>97</v>
      </c>
      <c r="B98" s="3" t="inlineStr">
        <is>
          <t>Rokhe</t>
        </is>
      </c>
      <c r="C98" s="3" t="inlineStr">
        <is>
          <t>ਰੋਖੇ</t>
        </is>
      </c>
      <c r="D98" s="11" t="inlineStr">
        <is>
          <t>Won Both Times (Stronghold)</t>
        </is>
      </c>
      <c r="E98" s="5" t="n">
        <v>290</v>
      </c>
      <c r="F98" s="6">
        <f>290/888</f>
        <v/>
      </c>
      <c r="G98" s="7" t="inlineStr">
        <is>
          <t>INC</t>
        </is>
      </c>
      <c r="H98" s="5" t="n">
        <v>375</v>
      </c>
      <c r="I98" s="6">
        <f>375/693</f>
        <v/>
      </c>
      <c r="J98" s="7" t="inlineStr">
        <is>
          <t>INC</t>
        </is>
      </c>
      <c r="K98" s="5" t="n">
        <v>85</v>
      </c>
      <c r="L98" s="8">
        <f>I98-F98</f>
        <v/>
      </c>
      <c r="M98" s="5" t="n">
        <v>202</v>
      </c>
      <c r="N98" s="5" t="n">
        <v>693</v>
      </c>
    </row>
    <row r="99" ht="20" customHeight="1">
      <c r="A99" s="9" t="n">
        <v>98</v>
      </c>
      <c r="B99" s="10" t="inlineStr">
        <is>
          <t>Ugar Aulakh</t>
        </is>
      </c>
      <c r="C99" s="10" t="inlineStr">
        <is>
          <t>ਉਗਰ ਔਲਖ</t>
        </is>
      </c>
      <c r="D99" s="4" t="inlineStr">
        <is>
          <t>Gained in 2024 (New Win)</t>
        </is>
      </c>
      <c r="E99" s="12" t="n">
        <v>149</v>
      </c>
      <c r="F99" s="13">
        <f>149/566</f>
        <v/>
      </c>
      <c r="G99" s="14" t="inlineStr">
        <is>
          <t>AAP</t>
        </is>
      </c>
      <c r="H99" s="12" t="n">
        <v>217</v>
      </c>
      <c r="I99" s="13">
        <f>217/533</f>
        <v/>
      </c>
      <c r="J99" s="14" t="inlineStr">
        <is>
          <t>INC</t>
        </is>
      </c>
      <c r="K99" s="12" t="n">
        <v>68</v>
      </c>
      <c r="L99" s="15">
        <f>I99-F99</f>
        <v/>
      </c>
      <c r="M99" s="12" t="n">
        <v>71</v>
      </c>
      <c r="N99" s="12" t="n">
        <v>533</v>
      </c>
    </row>
    <row r="100" ht="20" customHeight="1">
      <c r="A100" s="2" t="n">
        <v>99</v>
      </c>
      <c r="B100" s="3" t="inlineStr">
        <is>
          <t>Ugar Aulakh</t>
        </is>
      </c>
      <c r="C100" s="3" t="inlineStr">
        <is>
          <t>ਉਗਰ ਔਲਖ</t>
        </is>
      </c>
      <c r="D100" s="4" t="inlineStr">
        <is>
          <t>Gained in 2024 (New Win)</t>
        </is>
      </c>
      <c r="E100" s="5" t="n">
        <v>77</v>
      </c>
      <c r="F100" s="6">
        <f>77/555</f>
        <v/>
      </c>
      <c r="G100" s="7" t="inlineStr">
        <is>
          <t>AAP</t>
        </is>
      </c>
      <c r="H100" s="5" t="n">
        <v>186</v>
      </c>
      <c r="I100" s="6">
        <f>186/493</f>
        <v/>
      </c>
      <c r="J100" s="7" t="inlineStr">
        <is>
          <t>INC</t>
        </is>
      </c>
      <c r="K100" s="5" t="n">
        <v>109</v>
      </c>
      <c r="L100" s="8">
        <f>I100-F100</f>
        <v/>
      </c>
      <c r="M100" s="5" t="n">
        <v>21</v>
      </c>
      <c r="N100" s="5" t="n">
        <v>493</v>
      </c>
    </row>
    <row r="101" ht="20" customHeight="1">
      <c r="A101" s="9" t="n">
        <v>100</v>
      </c>
      <c r="B101" s="10" t="inlineStr">
        <is>
          <t>Rajia</t>
        </is>
      </c>
      <c r="C101" s="10" t="inlineStr">
        <is>
          <t>ਰਾਜੀਆ</t>
        </is>
      </c>
      <c r="D101" s="4" t="inlineStr">
        <is>
          <t>Gained in 2024 (New Win)</t>
        </is>
      </c>
      <c r="E101" s="12" t="n">
        <v>177</v>
      </c>
      <c r="F101" s="13">
        <f>177/639</f>
        <v/>
      </c>
      <c r="G101" s="14" t="inlineStr">
        <is>
          <t>SAD</t>
        </is>
      </c>
      <c r="H101" s="12" t="n">
        <v>208</v>
      </c>
      <c r="I101" s="13">
        <f>208/587</f>
        <v/>
      </c>
      <c r="J101" s="14" t="inlineStr">
        <is>
          <t>INC</t>
        </is>
      </c>
      <c r="K101" s="12" t="n">
        <v>31</v>
      </c>
      <c r="L101" s="15">
        <f>I101-F101</f>
        <v/>
      </c>
      <c r="M101" s="12" t="n">
        <v>22</v>
      </c>
      <c r="N101" s="12" t="n">
        <v>587</v>
      </c>
    </row>
    <row r="102" ht="20" customHeight="1">
      <c r="A102" s="2" t="n">
        <v>101</v>
      </c>
      <c r="B102" s="3" t="inlineStr">
        <is>
          <t>Terhi</t>
        </is>
      </c>
      <c r="C102" s="3" t="inlineStr">
        <is>
          <t>ਤੇੜ੍ਹੀ</t>
        </is>
      </c>
      <c r="D102" s="4" t="inlineStr">
        <is>
          <t>Gained in 2024 (New Win)</t>
        </is>
      </c>
      <c r="E102" s="5" t="n">
        <v>214</v>
      </c>
      <c r="F102" s="6">
        <f>214/688</f>
        <v/>
      </c>
      <c r="G102" s="7" t="inlineStr">
        <is>
          <t>SAD</t>
        </is>
      </c>
      <c r="H102" s="5" t="n">
        <v>198</v>
      </c>
      <c r="I102" s="6">
        <f>198/581</f>
        <v/>
      </c>
      <c r="J102" s="7" t="inlineStr">
        <is>
          <t>INC</t>
        </is>
      </c>
      <c r="K102" s="5" t="n">
        <v>-16</v>
      </c>
      <c r="L102" s="8">
        <f>I102-F102</f>
        <v/>
      </c>
      <c r="M102" s="5" t="n">
        <v>65</v>
      </c>
      <c r="N102" s="5" t="n">
        <v>581</v>
      </c>
    </row>
    <row r="103" ht="20" customHeight="1">
      <c r="A103" s="9" t="n">
        <v>102</v>
      </c>
      <c r="B103" s="10" t="inlineStr">
        <is>
          <t>Dhariwal Kaler</t>
        </is>
      </c>
      <c r="C103" s="10" t="inlineStr">
        <is>
          <t>ਧਾਰੀਵਾਲ ਕਲੇਰ</t>
        </is>
      </c>
      <c r="D103" s="18" t="inlineStr">
        <is>
          <t>Weak Booth (&lt; 20% Share)</t>
        </is>
      </c>
      <c r="E103" s="12" t="n">
        <v>161</v>
      </c>
      <c r="F103" s="13">
        <f>161/680</f>
        <v/>
      </c>
      <c r="G103" s="14" t="inlineStr">
        <is>
          <t>AAP</t>
        </is>
      </c>
      <c r="H103" s="12" t="n">
        <v>101</v>
      </c>
      <c r="I103" s="13">
        <f>101/508</f>
        <v/>
      </c>
      <c r="J103" s="14" t="inlineStr">
        <is>
          <t>AAP</t>
        </is>
      </c>
      <c r="K103" s="12" t="n">
        <v>-60</v>
      </c>
      <c r="L103" s="15">
        <f>I103-F103</f>
        <v/>
      </c>
      <c r="M103" s="12" t="n">
        <v>97</v>
      </c>
      <c r="N103" s="12" t="n">
        <v>508</v>
      </c>
    </row>
    <row r="104" ht="20" customHeight="1">
      <c r="A104" s="2" t="n">
        <v>103</v>
      </c>
      <c r="B104" s="3" t="inlineStr">
        <is>
          <t>Dhariwal Kaler</t>
        </is>
      </c>
      <c r="C104" s="3" t="inlineStr">
        <is>
          <t>ਧਾਰੀਵਾਲ ਕਲੇਰ</t>
        </is>
      </c>
      <c r="D104" s="11" t="inlineStr">
        <is>
          <t>Won Both Times (Stronghold)</t>
        </is>
      </c>
      <c r="E104" s="5" t="n">
        <v>307</v>
      </c>
      <c r="F104" s="6">
        <f>307/703</f>
        <v/>
      </c>
      <c r="G104" s="7" t="inlineStr">
        <is>
          <t>INC</t>
        </is>
      </c>
      <c r="H104" s="5" t="n">
        <v>243</v>
      </c>
      <c r="I104" s="6">
        <f>243/568</f>
        <v/>
      </c>
      <c r="J104" s="7" t="inlineStr">
        <is>
          <t>INC</t>
        </is>
      </c>
      <c r="K104" s="5" t="n">
        <v>-64</v>
      </c>
      <c r="L104" s="8">
        <f>I104-F104</f>
        <v/>
      </c>
      <c r="M104" s="5" t="n">
        <v>69</v>
      </c>
      <c r="N104" s="5" t="n">
        <v>568</v>
      </c>
    </row>
    <row r="105" ht="20" customHeight="1">
      <c r="A105" s="9" t="n">
        <v>104</v>
      </c>
      <c r="B105" s="10" t="inlineStr">
        <is>
          <t>Ibrahim Pura</t>
        </is>
      </c>
      <c r="C105" s="10" t="inlineStr">
        <is>
          <t>ਇਬਰਾਹਿਮ ਪੁਰਾ</t>
        </is>
      </c>
      <c r="D105" s="17" t="inlineStr">
        <is>
          <t>Lost Both Times (Deficit)</t>
        </is>
      </c>
      <c r="E105" s="12" t="n">
        <v>90</v>
      </c>
      <c r="F105" s="13">
        <f>90/521</f>
        <v/>
      </c>
      <c r="G105" s="14" t="inlineStr">
        <is>
          <t>AAP</t>
        </is>
      </c>
      <c r="H105" s="12" t="n">
        <v>105</v>
      </c>
      <c r="I105" s="13">
        <f>105/431</f>
        <v/>
      </c>
      <c r="J105" s="14" t="inlineStr">
        <is>
          <t>AAP</t>
        </is>
      </c>
      <c r="K105" s="12" t="n">
        <v>15</v>
      </c>
      <c r="L105" s="15">
        <f>I105-F105</f>
        <v/>
      </c>
      <c r="M105" s="12" t="n">
        <v>25</v>
      </c>
      <c r="N105" s="12" t="n">
        <v>431</v>
      </c>
    </row>
    <row r="106" ht="20" customHeight="1">
      <c r="A106" s="2" t="n">
        <v>105</v>
      </c>
      <c r="B106" s="3" t="inlineStr">
        <is>
          <t>Kotli Amb</t>
        </is>
      </c>
      <c r="C106" s="3" t="inlineStr">
        <is>
          <t>ਕੋਟਲੀ ਅੰਬ</t>
        </is>
      </c>
      <c r="D106" s="4" t="inlineStr">
        <is>
          <t>Gained in 2024 (New Win)</t>
        </is>
      </c>
      <c r="E106" s="5" t="n">
        <v>97</v>
      </c>
      <c r="F106" s="6">
        <f>97/625</f>
        <v/>
      </c>
      <c r="G106" s="7" t="inlineStr">
        <is>
          <t>AAP</t>
        </is>
      </c>
      <c r="H106" s="5" t="n">
        <v>160</v>
      </c>
      <c r="I106" s="6">
        <f>160/525</f>
        <v/>
      </c>
      <c r="J106" s="7" t="inlineStr">
        <is>
          <t>INC</t>
        </is>
      </c>
      <c r="K106" s="5" t="n">
        <v>63</v>
      </c>
      <c r="L106" s="8">
        <f>I106-F106</f>
        <v/>
      </c>
      <c r="M106" s="5" t="n">
        <v>1</v>
      </c>
      <c r="N106" s="5" t="n">
        <v>525</v>
      </c>
    </row>
    <row r="107" ht="20" customHeight="1">
      <c r="A107" s="9" t="n">
        <v>106</v>
      </c>
      <c r="B107" s="10" t="inlineStr">
        <is>
          <t>Gujarpura</t>
        </is>
      </c>
      <c r="C107" s="10" t="inlineStr">
        <is>
          <t>ਗੁੱਜਰਪੁਰਾ</t>
        </is>
      </c>
      <c r="D107" s="17" t="inlineStr">
        <is>
          <t>Lost Both Times (Deficit)</t>
        </is>
      </c>
      <c r="E107" s="12" t="n">
        <v>144</v>
      </c>
      <c r="F107" s="13">
        <f>144/600</f>
        <v/>
      </c>
      <c r="G107" s="14" t="inlineStr">
        <is>
          <t>AAP</t>
        </is>
      </c>
      <c r="H107" s="12" t="n">
        <v>148</v>
      </c>
      <c r="I107" s="13">
        <f>148/478</f>
        <v/>
      </c>
      <c r="J107" s="14" t="inlineStr">
        <is>
          <t>AAP</t>
        </is>
      </c>
      <c r="K107" s="12" t="n">
        <v>4</v>
      </c>
      <c r="L107" s="15">
        <f>I107-F107</f>
        <v/>
      </c>
      <c r="M107" s="12" t="n">
        <v>55</v>
      </c>
      <c r="N107" s="12" t="n">
        <v>478</v>
      </c>
    </row>
    <row r="108" ht="20" customHeight="1">
      <c r="A108" s="2" t="n">
        <v>107</v>
      </c>
      <c r="B108" s="3" t="inlineStr">
        <is>
          <t>Gujarpura</t>
        </is>
      </c>
      <c r="C108" s="3" t="inlineStr">
        <is>
          <t>ਗੁੱਜਰਪੁਰਾ</t>
        </is>
      </c>
      <c r="D108" s="17" t="inlineStr">
        <is>
          <t>Lost Both Times (Deficit)</t>
        </is>
      </c>
      <c r="E108" s="5" t="n">
        <v>155</v>
      </c>
      <c r="F108" s="6">
        <f>155/630</f>
        <v/>
      </c>
      <c r="G108" s="7" t="inlineStr">
        <is>
          <t>AAP</t>
        </is>
      </c>
      <c r="H108" s="5" t="n">
        <v>175</v>
      </c>
      <c r="I108" s="6">
        <f>175/527</f>
        <v/>
      </c>
      <c r="J108" s="7" t="inlineStr">
        <is>
          <t>AAP</t>
        </is>
      </c>
      <c r="K108" s="5" t="n">
        <v>20</v>
      </c>
      <c r="L108" s="8">
        <f>I108-F108</f>
        <v/>
      </c>
      <c r="M108" s="5" t="n">
        <v>53</v>
      </c>
      <c r="N108" s="5" t="n">
        <v>527</v>
      </c>
    </row>
    <row r="109" ht="20" customHeight="1">
      <c r="A109" s="9" t="n">
        <v>108</v>
      </c>
      <c r="B109" s="10" t="inlineStr">
        <is>
          <t>Harar Khurd</t>
        </is>
      </c>
      <c r="C109" s="10" t="inlineStr">
        <is>
          <t>ਹਰੜ ਖੁਰਦ</t>
        </is>
      </c>
      <c r="D109" s="18" t="inlineStr">
        <is>
          <t>Weak Booth (&lt; 20% Share)</t>
        </is>
      </c>
      <c r="E109" s="12" t="n">
        <v>107</v>
      </c>
      <c r="F109" s="13">
        <f>107/615</f>
        <v/>
      </c>
      <c r="G109" s="14" t="inlineStr">
        <is>
          <t>AAP</t>
        </is>
      </c>
      <c r="H109" s="12" t="n">
        <v>70</v>
      </c>
      <c r="I109" s="13">
        <f>70/560</f>
        <v/>
      </c>
      <c r="J109" s="14" t="inlineStr">
        <is>
          <t>AAP</t>
        </is>
      </c>
      <c r="K109" s="12" t="n">
        <v>-37</v>
      </c>
      <c r="L109" s="15">
        <f>I109-F109</f>
        <v/>
      </c>
      <c r="M109" s="12" t="n">
        <v>136</v>
      </c>
      <c r="N109" s="12" t="n">
        <v>560</v>
      </c>
    </row>
    <row r="110" ht="20" customHeight="1">
      <c r="A110" s="2" t="n">
        <v>109</v>
      </c>
      <c r="B110" s="3" t="inlineStr">
        <is>
          <t>Harar Kalan</t>
        </is>
      </c>
      <c r="C110" s="3" t="inlineStr">
        <is>
          <t>ਹਰੜ ਕਲਾਂ</t>
        </is>
      </c>
      <c r="D110" s="18" t="inlineStr">
        <is>
          <t>Weak Booth (&lt; 20% Share)</t>
        </is>
      </c>
      <c r="E110" s="5" t="n">
        <v>144</v>
      </c>
      <c r="F110" s="6">
        <f>144/744</f>
        <v/>
      </c>
      <c r="G110" s="7" t="inlineStr">
        <is>
          <t>AAP</t>
        </is>
      </c>
      <c r="H110" s="5" t="n">
        <v>118</v>
      </c>
      <c r="I110" s="6">
        <f>118/613</f>
        <v/>
      </c>
      <c r="J110" s="7" t="inlineStr">
        <is>
          <t>AAP</t>
        </is>
      </c>
      <c r="K110" s="5" t="n">
        <v>-26</v>
      </c>
      <c r="L110" s="8">
        <f>I110-F110</f>
        <v/>
      </c>
      <c r="M110" s="5" t="n">
        <v>1</v>
      </c>
      <c r="N110" s="5" t="n">
        <v>613</v>
      </c>
    </row>
    <row r="111" ht="20" customHeight="1">
      <c r="A111" s="9" t="n">
        <v>110</v>
      </c>
      <c r="B111" s="10" t="inlineStr">
        <is>
          <t>Harar Near Bhure Gill</t>
        </is>
      </c>
      <c r="C111" s="10" t="inlineStr">
        <is>
          <t>ਹਰੜ ਨੇੜੇ ਭੂਰੇ ਗਿੱਲ</t>
        </is>
      </c>
      <c r="D111" s="16" t="inlineStr">
        <is>
          <t>Lost in 2024 (to AAP)</t>
        </is>
      </c>
      <c r="E111" s="12" t="n">
        <v>119</v>
      </c>
      <c r="F111" s="13">
        <f>119/225</f>
        <v/>
      </c>
      <c r="G111" s="14" t="inlineStr">
        <is>
          <t>INC</t>
        </is>
      </c>
      <c r="H111" s="12" t="n">
        <v>19</v>
      </c>
      <c r="I111" s="13">
        <f>19/225</f>
        <v/>
      </c>
      <c r="J111" s="14" t="inlineStr">
        <is>
          <t>AAP</t>
        </is>
      </c>
      <c r="K111" s="12" t="n">
        <v>-100</v>
      </c>
      <c r="L111" s="15">
        <f>I111-F111</f>
        <v/>
      </c>
      <c r="M111" s="12" t="n">
        <v>168</v>
      </c>
      <c r="N111" s="12" t="n">
        <v>225</v>
      </c>
    </row>
    <row r="112" ht="20" customHeight="1">
      <c r="A112" s="2" t="n">
        <v>111</v>
      </c>
      <c r="B112" s="3" t="inlineStr">
        <is>
          <t>Bhure Gill</t>
        </is>
      </c>
      <c r="C112" s="3" t="inlineStr">
        <is>
          <t>ਭੂਰੇ ਗਿੱਲ</t>
        </is>
      </c>
      <c r="D112" s="11" t="inlineStr">
        <is>
          <t>Won Both Times (Stronghold)</t>
        </is>
      </c>
      <c r="E112" s="5" t="n">
        <v>324</v>
      </c>
      <c r="F112" s="6">
        <f>324/779</f>
        <v/>
      </c>
      <c r="G112" s="7" t="inlineStr">
        <is>
          <t>INC</t>
        </is>
      </c>
      <c r="H112" s="5" t="n">
        <v>251</v>
      </c>
      <c r="I112" s="6">
        <f>251/683</f>
        <v/>
      </c>
      <c r="J112" s="7" t="inlineStr">
        <is>
          <t>INC</t>
        </is>
      </c>
      <c r="K112" s="5" t="n">
        <v>-73</v>
      </c>
      <c r="L112" s="8">
        <f>I112-F112</f>
        <v/>
      </c>
      <c r="M112" s="5" t="n">
        <v>30</v>
      </c>
      <c r="N112" s="5" t="n">
        <v>683</v>
      </c>
    </row>
    <row r="113" ht="20" customHeight="1">
      <c r="A113" s="9" t="n">
        <v>112</v>
      </c>
      <c r="B113" s="10" t="inlineStr">
        <is>
          <t>Diyalpura</t>
        </is>
      </c>
      <c r="C113" s="10" t="inlineStr">
        <is>
          <t>ਦਿਆਲਪੁਰਾ</t>
        </is>
      </c>
      <c r="D113" s="17" t="inlineStr">
        <is>
          <t>Lost Both Times (Deficit)</t>
        </is>
      </c>
      <c r="E113" s="12" t="n">
        <v>265</v>
      </c>
      <c r="F113" s="13">
        <f>265/808</f>
        <v/>
      </c>
      <c r="G113" s="14" t="inlineStr">
        <is>
          <t>AAP</t>
        </is>
      </c>
      <c r="H113" s="12" t="n">
        <v>156</v>
      </c>
      <c r="I113" s="13">
        <f>156/748</f>
        <v/>
      </c>
      <c r="J113" s="14" t="inlineStr">
        <is>
          <t>AAP</t>
        </is>
      </c>
      <c r="K113" s="12" t="n">
        <v>-109</v>
      </c>
      <c r="L113" s="15">
        <f>I113-F113</f>
        <v/>
      </c>
      <c r="M113" s="12" t="n">
        <v>169</v>
      </c>
      <c r="N113" s="12" t="n">
        <v>748</v>
      </c>
    </row>
    <row r="114" ht="20" customHeight="1">
      <c r="A114" s="2" t="n">
        <v>113</v>
      </c>
      <c r="B114" s="3" t="inlineStr">
        <is>
          <t>Lango Mahal</t>
        </is>
      </c>
      <c r="C114" s="3" t="inlineStr">
        <is>
          <t>ਲੰਗੋ ਮਾਹਲ</t>
        </is>
      </c>
      <c r="D114" s="4" t="inlineStr">
        <is>
          <t>Gained in 2024 (New Win)</t>
        </is>
      </c>
      <c r="E114" s="5" t="n">
        <v>93</v>
      </c>
      <c r="F114" s="6">
        <f>93/474</f>
        <v/>
      </c>
      <c r="G114" s="7" t="inlineStr">
        <is>
          <t>AAP</t>
        </is>
      </c>
      <c r="H114" s="5" t="n">
        <v>173</v>
      </c>
      <c r="I114" s="6">
        <f>173/421</f>
        <v/>
      </c>
      <c r="J114" s="7" t="inlineStr">
        <is>
          <t>INC</t>
        </is>
      </c>
      <c r="K114" s="5" t="n">
        <v>80</v>
      </c>
      <c r="L114" s="8">
        <f>I114-F114</f>
        <v/>
      </c>
      <c r="M114" s="5" t="n">
        <v>30</v>
      </c>
      <c r="N114" s="5" t="n">
        <v>421</v>
      </c>
    </row>
    <row r="115" ht="20" customHeight="1">
      <c r="A115" s="9" t="n">
        <v>114</v>
      </c>
      <c r="B115" s="10" t="inlineStr">
        <is>
          <t>Gagomahal</t>
        </is>
      </c>
      <c r="C115" s="10" t="inlineStr">
        <is>
          <t>ਗੱਗੋਮਾਹਲ</t>
        </is>
      </c>
      <c r="D115" s="17" t="inlineStr">
        <is>
          <t>Lost Both Times (Deficit)</t>
        </is>
      </c>
      <c r="E115" s="12" t="n">
        <v>248</v>
      </c>
      <c r="F115" s="13">
        <f>248/744</f>
        <v/>
      </c>
      <c r="G115" s="14" t="inlineStr">
        <is>
          <t>AAP</t>
        </is>
      </c>
      <c r="H115" s="12" t="n">
        <v>164</v>
      </c>
      <c r="I115" s="13">
        <f>164/609</f>
        <v/>
      </c>
      <c r="J115" s="14" t="inlineStr">
        <is>
          <t>AAP</t>
        </is>
      </c>
      <c r="K115" s="12" t="n">
        <v>-84</v>
      </c>
      <c r="L115" s="15">
        <f>I115-F115</f>
        <v/>
      </c>
      <c r="M115" s="12" t="n">
        <v>90</v>
      </c>
      <c r="N115" s="12" t="n">
        <v>609</v>
      </c>
    </row>
    <row r="116" ht="20" customHeight="1">
      <c r="A116" s="2" t="n">
        <v>115</v>
      </c>
      <c r="B116" s="3" t="inlineStr">
        <is>
          <t>Gagomahal</t>
        </is>
      </c>
      <c r="C116" s="3" t="inlineStr">
        <is>
          <t>ਗੱਗੋਮਾਹਲ</t>
        </is>
      </c>
      <c r="D116" s="11" t="inlineStr">
        <is>
          <t>Won Both Times (Stronghold)</t>
        </is>
      </c>
      <c r="E116" s="5" t="n">
        <v>278</v>
      </c>
      <c r="F116" s="6">
        <f>278/644</f>
        <v/>
      </c>
      <c r="G116" s="7" t="inlineStr">
        <is>
          <t>INC</t>
        </is>
      </c>
      <c r="H116" s="5" t="n">
        <v>216</v>
      </c>
      <c r="I116" s="6">
        <f>216/506</f>
        <v/>
      </c>
      <c r="J116" s="7" t="inlineStr">
        <is>
          <t>INC</t>
        </is>
      </c>
      <c r="K116" s="5" t="n">
        <v>-62</v>
      </c>
      <c r="L116" s="8">
        <f>I116-F116</f>
        <v/>
      </c>
      <c r="M116" s="5" t="n">
        <v>82</v>
      </c>
      <c r="N116" s="5" t="n">
        <v>506</v>
      </c>
    </row>
    <row r="117" ht="20" customHeight="1">
      <c r="A117" s="9" t="n">
        <v>116</v>
      </c>
      <c r="B117" s="10" t="inlineStr">
        <is>
          <t>Gagomahal</t>
        </is>
      </c>
      <c r="C117" s="10" t="inlineStr">
        <is>
          <t>ਗੱਗੋਮਾਹਲ</t>
        </is>
      </c>
      <c r="D117" s="17" t="inlineStr">
        <is>
          <t>Lost Both Times (Deficit)</t>
        </is>
      </c>
      <c r="E117" s="12" t="n">
        <v>154</v>
      </c>
      <c r="F117" s="13">
        <f>154/620</f>
        <v/>
      </c>
      <c r="G117" s="14" t="inlineStr">
        <is>
          <t>AAP</t>
        </is>
      </c>
      <c r="H117" s="12" t="n">
        <v>130</v>
      </c>
      <c r="I117" s="13">
        <f>130/515</f>
        <v/>
      </c>
      <c r="J117" s="14" t="inlineStr">
        <is>
          <t>AAP</t>
        </is>
      </c>
      <c r="K117" s="12" t="n">
        <v>-24</v>
      </c>
      <c r="L117" s="15">
        <f>I117-F117</f>
        <v/>
      </c>
      <c r="M117" s="12" t="n">
        <v>145</v>
      </c>
      <c r="N117" s="12" t="n">
        <v>515</v>
      </c>
    </row>
    <row r="118" ht="20" customHeight="1">
      <c r="A118" s="2" t="n">
        <v>117</v>
      </c>
      <c r="B118" s="3" t="inlineStr">
        <is>
          <t>Abusaid</t>
        </is>
      </c>
      <c r="C118" s="3" t="inlineStr">
        <is>
          <t>ਅਬੂਸਈਦ</t>
        </is>
      </c>
      <c r="D118" s="4" t="inlineStr">
        <is>
          <t>Gained in 2024 (New Win)</t>
        </is>
      </c>
      <c r="E118" s="5" t="n">
        <v>239</v>
      </c>
      <c r="F118" s="6">
        <f>239/648</f>
        <v/>
      </c>
      <c r="G118" s="7" t="inlineStr">
        <is>
          <t>AAP</t>
        </is>
      </c>
      <c r="H118" s="5" t="n">
        <v>266</v>
      </c>
      <c r="I118" s="6">
        <f>266/609</f>
        <v/>
      </c>
      <c r="J118" s="7" t="inlineStr">
        <is>
          <t>INC</t>
        </is>
      </c>
      <c r="K118" s="5" t="n">
        <v>27</v>
      </c>
      <c r="L118" s="8">
        <f>I118-F118</f>
        <v/>
      </c>
      <c r="M118" s="5" t="n">
        <v>91</v>
      </c>
      <c r="N118" s="5" t="n">
        <v>609</v>
      </c>
    </row>
    <row r="119" ht="20" customHeight="1">
      <c r="A119" s="9" t="n">
        <v>118</v>
      </c>
      <c r="B119" s="10" t="inlineStr">
        <is>
          <t>Nanoke</t>
        </is>
      </c>
      <c r="C119" s="10" t="inlineStr">
        <is>
          <t>ਨਾਨੋਕੇ</t>
        </is>
      </c>
      <c r="D119" s="17" t="inlineStr">
        <is>
          <t>Lost Both Times (Deficit)</t>
        </is>
      </c>
      <c r="E119" s="12" t="n">
        <v>158</v>
      </c>
      <c r="F119" s="13">
        <f>158/703</f>
        <v/>
      </c>
      <c r="G119" s="14" t="inlineStr">
        <is>
          <t>AAP</t>
        </is>
      </c>
      <c r="H119" s="12" t="n">
        <v>131</v>
      </c>
      <c r="I119" s="13">
        <f>131/626</f>
        <v/>
      </c>
      <c r="J119" s="14" t="inlineStr">
        <is>
          <t>AAP</t>
        </is>
      </c>
      <c r="K119" s="12" t="n">
        <v>-27</v>
      </c>
      <c r="L119" s="15">
        <f>I119-F119</f>
        <v/>
      </c>
      <c r="M119" s="12" t="n">
        <v>66</v>
      </c>
      <c r="N119" s="12" t="n">
        <v>626</v>
      </c>
    </row>
    <row r="120" ht="20" customHeight="1">
      <c r="A120" s="2" t="n">
        <v>119</v>
      </c>
      <c r="B120" s="3" t="inlineStr">
        <is>
          <t>Kuralian</t>
        </is>
      </c>
      <c r="C120" s="3" t="inlineStr">
        <is>
          <t>ਕੁਰਾਲੀਆਂ</t>
        </is>
      </c>
      <c r="D120" s="17" t="inlineStr">
        <is>
          <t>Lost Both Times (Deficit)</t>
        </is>
      </c>
      <c r="E120" s="5" t="n">
        <v>210</v>
      </c>
      <c r="F120" s="6">
        <f>210/801</f>
        <v/>
      </c>
      <c r="G120" s="7" t="inlineStr">
        <is>
          <t>AAP</t>
        </is>
      </c>
      <c r="H120" s="5" t="n">
        <v>184</v>
      </c>
      <c r="I120" s="6">
        <f>184/727</f>
        <v/>
      </c>
      <c r="J120" s="7" t="inlineStr">
        <is>
          <t>AAP</t>
        </is>
      </c>
      <c r="K120" s="5" t="n">
        <v>-26</v>
      </c>
      <c r="L120" s="8">
        <f>I120-F120</f>
        <v/>
      </c>
      <c r="M120" s="5" t="n">
        <v>72</v>
      </c>
      <c r="N120" s="5" t="n">
        <v>727</v>
      </c>
    </row>
    <row r="121" ht="20" customHeight="1">
      <c r="A121" s="9" t="n">
        <v>120</v>
      </c>
      <c r="B121" s="10" t="inlineStr">
        <is>
          <t>Jasharh</t>
        </is>
      </c>
      <c r="C121" s="10" t="inlineStr">
        <is>
          <t>ਜਸੜ੍ਹ</t>
        </is>
      </c>
      <c r="D121" s="16" t="inlineStr">
        <is>
          <t>Lost in 2024 (to AAP)</t>
        </is>
      </c>
      <c r="E121" s="12" t="n">
        <v>276</v>
      </c>
      <c r="F121" s="13">
        <f>276/664</f>
        <v/>
      </c>
      <c r="G121" s="14" t="inlineStr">
        <is>
          <t>INC</t>
        </is>
      </c>
      <c r="H121" s="12" t="n">
        <v>200</v>
      </c>
      <c r="I121" s="13">
        <f>200/605</f>
        <v/>
      </c>
      <c r="J121" s="14" t="inlineStr">
        <is>
          <t>AAP</t>
        </is>
      </c>
      <c r="K121" s="12" t="n">
        <v>-76</v>
      </c>
      <c r="L121" s="15">
        <f>I121-F121</f>
        <v/>
      </c>
      <c r="M121" s="12" t="n">
        <v>23</v>
      </c>
      <c r="N121" s="12" t="n">
        <v>605</v>
      </c>
    </row>
    <row r="122" ht="20" customHeight="1">
      <c r="A122" s="2" t="n">
        <v>121</v>
      </c>
      <c r="B122" s="3" t="inlineStr">
        <is>
          <t>Makowal</t>
        </is>
      </c>
      <c r="C122" s="3" t="inlineStr">
        <is>
          <t>ਮਕੋਵਾਲ</t>
        </is>
      </c>
      <c r="D122" s="11" t="inlineStr">
        <is>
          <t>Won Both Times (Stronghold)</t>
        </is>
      </c>
      <c r="E122" s="5" t="n">
        <v>275</v>
      </c>
      <c r="F122" s="6">
        <f>275/814</f>
        <v/>
      </c>
      <c r="G122" s="7" t="inlineStr">
        <is>
          <t>INC</t>
        </is>
      </c>
      <c r="H122" s="5" t="n">
        <v>324</v>
      </c>
      <c r="I122" s="6">
        <f>324/734</f>
        <v/>
      </c>
      <c r="J122" s="7" t="inlineStr">
        <is>
          <t>INC</t>
        </is>
      </c>
      <c r="K122" s="5" t="n">
        <v>49</v>
      </c>
      <c r="L122" s="8">
        <f>I122-F122</f>
        <v/>
      </c>
      <c r="M122" s="5" t="n">
        <v>137</v>
      </c>
      <c r="N122" s="5" t="n">
        <v>734</v>
      </c>
    </row>
    <row r="123" ht="20" customHeight="1">
      <c r="A123" s="9" t="n">
        <v>122</v>
      </c>
      <c r="B123" s="10" t="inlineStr">
        <is>
          <t>Sudhar</t>
        </is>
      </c>
      <c r="C123" s="10" t="inlineStr">
        <is>
          <t>ਸੁਧਾਰ</t>
        </is>
      </c>
      <c r="D123" s="17" t="inlineStr">
        <is>
          <t>Lost Both Times (Deficit)</t>
        </is>
      </c>
      <c r="E123" s="12" t="n">
        <v>125</v>
      </c>
      <c r="F123" s="13">
        <f>125/765</f>
        <v/>
      </c>
      <c r="G123" s="14" t="inlineStr">
        <is>
          <t>AAP</t>
        </is>
      </c>
      <c r="H123" s="12" t="n">
        <v>235</v>
      </c>
      <c r="I123" s="13">
        <f>235/761</f>
        <v/>
      </c>
      <c r="J123" s="14" t="inlineStr">
        <is>
          <t>AAP</t>
        </is>
      </c>
      <c r="K123" s="12" t="n">
        <v>110</v>
      </c>
      <c r="L123" s="15">
        <f>I123-F123</f>
        <v/>
      </c>
      <c r="M123" s="12" t="n">
        <v>3</v>
      </c>
      <c r="N123" s="12" t="n">
        <v>761</v>
      </c>
    </row>
    <row r="124" ht="20" customHeight="1">
      <c r="A124" s="2" t="n">
        <v>123</v>
      </c>
      <c r="B124" s="3" t="inlineStr">
        <is>
          <t>Urdhan</t>
        </is>
      </c>
      <c r="C124" s="3" t="inlineStr">
        <is>
          <t>ਉਰਧਨ</t>
        </is>
      </c>
      <c r="D124" s="4" t="inlineStr">
        <is>
          <t>Gained in 2024 (New Win)</t>
        </is>
      </c>
      <c r="E124" s="5" t="n">
        <v>114</v>
      </c>
      <c r="F124" s="6">
        <f>114/526</f>
        <v/>
      </c>
      <c r="G124" s="7" t="inlineStr">
        <is>
          <t>AAP</t>
        </is>
      </c>
      <c r="H124" s="5" t="n">
        <v>193</v>
      </c>
      <c r="I124" s="6">
        <f>193/481</f>
        <v/>
      </c>
      <c r="J124" s="7" t="inlineStr">
        <is>
          <t>INC</t>
        </is>
      </c>
      <c r="K124" s="5" t="n">
        <v>79</v>
      </c>
      <c r="L124" s="8">
        <f>I124-F124</f>
        <v/>
      </c>
      <c r="M124" s="5" t="n">
        <v>69</v>
      </c>
      <c r="N124" s="5" t="n">
        <v>481</v>
      </c>
    </row>
    <row r="125" ht="20" customHeight="1">
      <c r="A125" s="9" t="n">
        <v>124</v>
      </c>
      <c r="B125" s="10" t="inlineStr">
        <is>
          <t>Khanowal</t>
        </is>
      </c>
      <c r="C125" s="10" t="inlineStr">
        <is>
          <t>ਖਾਨੋਵਾਲ</t>
        </is>
      </c>
      <c r="D125" s="4" t="inlineStr">
        <is>
          <t>Gained in 2024 (New Win)</t>
        </is>
      </c>
      <c r="E125" s="12" t="n">
        <v>226</v>
      </c>
      <c r="F125" s="13">
        <f>226/890</f>
        <v/>
      </c>
      <c r="G125" s="14" t="inlineStr">
        <is>
          <t>AAP</t>
        </is>
      </c>
      <c r="H125" s="12" t="n">
        <v>246</v>
      </c>
      <c r="I125" s="13">
        <f>246/733</f>
        <v/>
      </c>
      <c r="J125" s="14" t="inlineStr">
        <is>
          <t>INC</t>
        </is>
      </c>
      <c r="K125" s="12" t="n">
        <v>20</v>
      </c>
      <c r="L125" s="15">
        <f>I125-F125</f>
        <v/>
      </c>
      <c r="M125" s="12" t="n">
        <v>21</v>
      </c>
      <c r="N125" s="12" t="n">
        <v>733</v>
      </c>
    </row>
    <row r="126" ht="20" customHeight="1">
      <c r="A126" s="2" t="n">
        <v>125</v>
      </c>
      <c r="B126" s="3" t="inlineStr">
        <is>
          <t>Diyal Bhrang</t>
        </is>
      </c>
      <c r="C126" s="3" t="inlineStr">
        <is>
          <t>ਦਿਆਲ ਭੜੰਗ</t>
        </is>
      </c>
      <c r="D126" s="17" t="inlineStr">
        <is>
          <t>Lost Both Times (Deficit)</t>
        </is>
      </c>
      <c r="E126" s="5" t="n">
        <v>158</v>
      </c>
      <c r="F126" s="6">
        <f>158/630</f>
        <v/>
      </c>
      <c r="G126" s="7" t="inlineStr">
        <is>
          <t>AAP</t>
        </is>
      </c>
      <c r="H126" s="5" t="n">
        <v>153</v>
      </c>
      <c r="I126" s="6">
        <f>153/529</f>
        <v/>
      </c>
      <c r="J126" s="7" t="inlineStr">
        <is>
          <t>AAP</t>
        </is>
      </c>
      <c r="K126" s="5" t="n">
        <v>-5</v>
      </c>
      <c r="L126" s="8">
        <f>I126-F126</f>
        <v/>
      </c>
      <c r="M126" s="5" t="n">
        <v>51</v>
      </c>
      <c r="N126" s="5" t="n">
        <v>529</v>
      </c>
    </row>
    <row r="127" ht="20" customHeight="1">
      <c r="A127" s="9" t="n">
        <v>126</v>
      </c>
      <c r="B127" s="10" t="inlineStr">
        <is>
          <t>Gore Nangal</t>
        </is>
      </c>
      <c r="C127" s="10" t="inlineStr">
        <is>
          <t>ਗੋਰੇ ਨੰਗਲ</t>
        </is>
      </c>
      <c r="D127" s="4" t="inlineStr">
        <is>
          <t>Gained in 2024 (New Win)</t>
        </is>
      </c>
      <c r="E127" s="12" t="n">
        <v>159</v>
      </c>
      <c r="F127" s="13">
        <f>159/534</f>
        <v/>
      </c>
      <c r="G127" s="14" t="inlineStr">
        <is>
          <t>AAP</t>
        </is>
      </c>
      <c r="H127" s="12" t="n">
        <v>170</v>
      </c>
      <c r="I127" s="13">
        <f>170/520</f>
        <v/>
      </c>
      <c r="J127" s="14" t="inlineStr">
        <is>
          <t>INC</t>
        </is>
      </c>
      <c r="K127" s="12" t="n">
        <v>11</v>
      </c>
      <c r="L127" s="15">
        <f>I127-F127</f>
        <v/>
      </c>
      <c r="M127" s="12" t="n">
        <v>26</v>
      </c>
      <c r="N127" s="12" t="n">
        <v>520</v>
      </c>
    </row>
    <row r="128" ht="20" customHeight="1">
      <c r="A128" s="2" t="n">
        <v>127</v>
      </c>
      <c r="B128" s="3" t="inlineStr">
        <is>
          <t>Matte Nangal</t>
        </is>
      </c>
      <c r="C128" s="3" t="inlineStr">
        <is>
          <t>ਮੱਤੇ ਨੰਗਲ</t>
        </is>
      </c>
      <c r="D128" s="11" t="inlineStr">
        <is>
          <t>Won Both Times (Stronghold)</t>
        </is>
      </c>
      <c r="E128" s="5" t="n">
        <v>352</v>
      </c>
      <c r="F128" s="6">
        <f>352/908</f>
        <v/>
      </c>
      <c r="G128" s="7" t="inlineStr">
        <is>
          <t>INC</t>
        </is>
      </c>
      <c r="H128" s="5" t="n">
        <v>320</v>
      </c>
      <c r="I128" s="6">
        <f>320/796</f>
        <v/>
      </c>
      <c r="J128" s="7" t="inlineStr">
        <is>
          <t>INC</t>
        </is>
      </c>
      <c r="K128" s="5" t="n">
        <v>-32</v>
      </c>
      <c r="L128" s="8">
        <f>I128-F128</f>
        <v/>
      </c>
      <c r="M128" s="5" t="n">
        <v>64</v>
      </c>
      <c r="N128" s="5" t="n">
        <v>796</v>
      </c>
    </row>
    <row r="129" ht="20" customHeight="1">
      <c r="A129" s="9" t="n">
        <v>128</v>
      </c>
      <c r="B129" s="10" t="inlineStr">
        <is>
          <t>Talwandi Bhagwan</t>
        </is>
      </c>
      <c r="C129" s="10" t="inlineStr">
        <is>
          <t>ਤਲਵੰਡੀ ਭਗਵਾਨ</t>
        </is>
      </c>
      <c r="D129" s="4" t="inlineStr">
        <is>
          <t>Gained in 2024 (New Win)</t>
        </is>
      </c>
      <c r="E129" s="12" t="n">
        <v>254</v>
      </c>
      <c r="F129" s="13">
        <f>254/805</f>
        <v/>
      </c>
      <c r="G129" s="14" t="inlineStr">
        <is>
          <t>SAD</t>
        </is>
      </c>
      <c r="H129" s="12" t="n">
        <v>308</v>
      </c>
      <c r="I129" s="13">
        <f>308/742</f>
        <v/>
      </c>
      <c r="J129" s="14" t="inlineStr">
        <is>
          <t>INC</t>
        </is>
      </c>
      <c r="K129" s="12" t="n">
        <v>54</v>
      </c>
      <c r="L129" s="15">
        <f>I129-F129</f>
        <v/>
      </c>
      <c r="M129" s="12" t="n">
        <v>94</v>
      </c>
      <c r="N129" s="12" t="n">
        <v>742</v>
      </c>
    </row>
    <row r="130" ht="20" customHeight="1">
      <c r="A130" s="2" t="n">
        <v>129</v>
      </c>
      <c r="B130" s="3" t="inlineStr">
        <is>
          <t>Madhu Chhanga</t>
        </is>
      </c>
      <c r="C130" s="3" t="inlineStr">
        <is>
          <t>ਮਾਧੋ ਛਾਂਗਾ</t>
        </is>
      </c>
      <c r="D130" s="11" t="inlineStr">
        <is>
          <t>Won Both Times (Stronghold)</t>
        </is>
      </c>
      <c r="E130" s="5" t="n">
        <v>360</v>
      </c>
      <c r="F130" s="6">
        <f>360/783</f>
        <v/>
      </c>
      <c r="G130" s="7" t="inlineStr">
        <is>
          <t>INC</t>
        </is>
      </c>
      <c r="H130" s="5" t="n">
        <v>257</v>
      </c>
      <c r="I130" s="6">
        <f>257/714</f>
        <v/>
      </c>
      <c r="J130" s="7" t="inlineStr">
        <is>
          <t>INC</t>
        </is>
      </c>
      <c r="K130" s="5" t="n">
        <v>-103</v>
      </c>
      <c r="L130" s="8">
        <f>I130-F130</f>
        <v/>
      </c>
      <c r="M130" s="5" t="n">
        <v>11</v>
      </c>
      <c r="N130" s="5" t="n">
        <v>714</v>
      </c>
    </row>
    <row r="131" ht="20" customHeight="1">
      <c r="A131" s="9" t="n">
        <v>130</v>
      </c>
      <c r="B131" s="10" t="inlineStr">
        <is>
          <t>Boharh Wala</t>
        </is>
      </c>
      <c r="C131" s="10" t="inlineStr">
        <is>
          <t>ਬੋਹੜ ਵਾਲਾ</t>
        </is>
      </c>
      <c r="D131" s="17" t="inlineStr">
        <is>
          <t>Lost Both Times (Deficit)</t>
        </is>
      </c>
      <c r="E131" s="12" t="n">
        <v>95</v>
      </c>
      <c r="F131" s="13">
        <f>95/630</f>
        <v/>
      </c>
      <c r="G131" s="14" t="inlineStr">
        <is>
          <t>SAD</t>
        </is>
      </c>
      <c r="H131" s="12" t="n">
        <v>208</v>
      </c>
      <c r="I131" s="13">
        <f>208/659</f>
        <v/>
      </c>
      <c r="J131" s="14" t="inlineStr">
        <is>
          <t>AAP</t>
        </is>
      </c>
      <c r="K131" s="12" t="n">
        <v>113</v>
      </c>
      <c r="L131" s="15">
        <f>I131-F131</f>
        <v/>
      </c>
      <c r="M131" s="12" t="n">
        <v>184</v>
      </c>
      <c r="N131" s="12" t="n">
        <v>659</v>
      </c>
    </row>
    <row r="132" ht="20" customHeight="1">
      <c r="A132" s="2" t="n">
        <v>131</v>
      </c>
      <c r="B132" s="3" t="inlineStr">
        <is>
          <t>Talwandi Nahar</t>
        </is>
      </c>
      <c r="C132" s="3" t="inlineStr">
        <is>
          <t>ਤਲਵੰਡੀ ਨਾਹਰ</t>
        </is>
      </c>
      <c r="D132" s="4" t="inlineStr">
        <is>
          <t>Gained in 2024 (New Win)</t>
        </is>
      </c>
      <c r="E132" s="5" t="n">
        <v>288</v>
      </c>
      <c r="F132" s="6">
        <f>288/809</f>
        <v/>
      </c>
      <c r="G132" s="7" t="inlineStr">
        <is>
          <t>AAP</t>
        </is>
      </c>
      <c r="H132" s="5" t="n">
        <v>474</v>
      </c>
      <c r="I132" s="6">
        <f>474/866</f>
        <v/>
      </c>
      <c r="J132" s="7" t="inlineStr">
        <is>
          <t>INC</t>
        </is>
      </c>
      <c r="K132" s="5" t="n">
        <v>186</v>
      </c>
      <c r="L132" s="8">
        <f>I132-F132</f>
        <v/>
      </c>
      <c r="M132" s="5" t="n">
        <v>251</v>
      </c>
      <c r="N132" s="5" t="n">
        <v>866</v>
      </c>
    </row>
    <row r="133" ht="20" customHeight="1">
      <c r="A133" s="9" t="n">
        <v>132</v>
      </c>
      <c r="B133" s="10" t="inlineStr">
        <is>
          <t>Balbawa</t>
        </is>
      </c>
      <c r="C133" s="10" t="inlineStr">
        <is>
          <t>ਬਲਬਾਵਾ</t>
        </is>
      </c>
      <c r="D133" s="18" t="inlineStr">
        <is>
          <t>Weak Booth (&lt; 20% Share)</t>
        </is>
      </c>
      <c r="E133" s="12" t="n">
        <v>168</v>
      </c>
      <c r="F133" s="13">
        <f>168/755</f>
        <v/>
      </c>
      <c r="G133" s="14" t="inlineStr">
        <is>
          <t>AAP</t>
        </is>
      </c>
      <c r="H133" s="12" t="n">
        <v>144</v>
      </c>
      <c r="I133" s="13">
        <f>144/722</f>
        <v/>
      </c>
      <c r="J133" s="14" t="inlineStr">
        <is>
          <t>AAP</t>
        </is>
      </c>
      <c r="K133" s="12" t="n">
        <v>-24</v>
      </c>
      <c r="L133" s="15">
        <f>I133-F133</f>
        <v/>
      </c>
      <c r="M133" s="12" t="n">
        <v>67</v>
      </c>
      <c r="N133" s="12" t="n">
        <v>722</v>
      </c>
    </row>
    <row r="134" ht="20" customHeight="1">
      <c r="A134" s="2" t="n">
        <v>133</v>
      </c>
      <c r="B134" s="3" t="inlineStr">
        <is>
          <t>Nizam Pura</t>
        </is>
      </c>
      <c r="C134" s="3" t="inlineStr">
        <is>
          <t>ਨਿਜ਼ਾਮ ਪੁਰਾ</t>
        </is>
      </c>
      <c r="D134" s="16" t="inlineStr">
        <is>
          <t>Lost in 2024 (to AAP)</t>
        </is>
      </c>
      <c r="E134" s="5" t="n">
        <v>135</v>
      </c>
      <c r="F134" s="6">
        <f>135/280</f>
        <v/>
      </c>
      <c r="G134" s="7" t="inlineStr">
        <is>
          <t>INC</t>
        </is>
      </c>
      <c r="H134" s="5" t="n">
        <v>91</v>
      </c>
      <c r="I134" s="6">
        <f>91/282</f>
        <v/>
      </c>
      <c r="J134" s="7" t="inlineStr">
        <is>
          <t>AAP</t>
        </is>
      </c>
      <c r="K134" s="5" t="n">
        <v>-44</v>
      </c>
      <c r="L134" s="8">
        <f>I134-F134</f>
        <v/>
      </c>
      <c r="M134" s="5" t="n">
        <v>35</v>
      </c>
      <c r="N134" s="5" t="n">
        <v>282</v>
      </c>
    </row>
    <row r="135" ht="20" customHeight="1">
      <c r="A135" s="9" t="n">
        <v>134</v>
      </c>
      <c r="B135" s="10" t="inlineStr">
        <is>
          <t>Nawan Pind</t>
        </is>
      </c>
      <c r="C135" s="10" t="inlineStr">
        <is>
          <t>ਨਵਾਂ ਪਿੰਡ</t>
        </is>
      </c>
      <c r="D135" s="17" t="inlineStr">
        <is>
          <t>Lost Both Times (Deficit)</t>
        </is>
      </c>
      <c r="E135" s="12" t="n">
        <v>145</v>
      </c>
      <c r="F135" s="13">
        <f>145/607</f>
        <v/>
      </c>
      <c r="G135" s="14" t="inlineStr">
        <is>
          <t>SAD</t>
        </is>
      </c>
      <c r="H135" s="12" t="n">
        <v>116</v>
      </c>
      <c r="I135" s="13">
        <f>116/567</f>
        <v/>
      </c>
      <c r="J135" s="14" t="inlineStr">
        <is>
          <t>AAP</t>
        </is>
      </c>
      <c r="K135" s="12" t="n">
        <v>-29</v>
      </c>
      <c r="L135" s="15">
        <f>I135-F135</f>
        <v/>
      </c>
      <c r="M135" s="12" t="n">
        <v>251</v>
      </c>
      <c r="N135" s="12" t="n">
        <v>567</v>
      </c>
    </row>
    <row r="136" ht="20" customHeight="1">
      <c r="A136" s="2" t="n">
        <v>135</v>
      </c>
      <c r="B136" s="3" t="inlineStr">
        <is>
          <t>Nawan Pind</t>
        </is>
      </c>
      <c r="C136" s="3" t="inlineStr">
        <is>
          <t>ਨਵਾਂ ਪਿੰਡ</t>
        </is>
      </c>
      <c r="D136" s="17" t="inlineStr">
        <is>
          <t>Lost Both Times (Deficit)</t>
        </is>
      </c>
      <c r="E136" s="5" t="n">
        <v>56</v>
      </c>
      <c r="F136" s="6">
        <f>56/327</f>
        <v/>
      </c>
      <c r="G136" s="7" t="inlineStr">
        <is>
          <t>AAP</t>
        </is>
      </c>
      <c r="H136" s="5" t="n">
        <v>56</v>
      </c>
      <c r="I136" s="6">
        <f>56/256</f>
        <v/>
      </c>
      <c r="J136" s="7" t="inlineStr">
        <is>
          <t>AAP</t>
        </is>
      </c>
      <c r="K136" s="5" t="n">
        <v>0</v>
      </c>
      <c r="L136" s="8">
        <f>I136-F136</f>
        <v/>
      </c>
      <c r="M136" s="5" t="n">
        <v>78</v>
      </c>
      <c r="N136" s="5" t="n">
        <v>256</v>
      </c>
    </row>
    <row r="137" ht="20" customHeight="1">
      <c r="A137" s="9" t="n">
        <v>136</v>
      </c>
      <c r="B137" s="10" t="inlineStr">
        <is>
          <t>Hardo Putli</t>
        </is>
      </c>
      <c r="C137" s="10" t="inlineStr">
        <is>
          <t>ਹਰਦੋ ਪੁਤਲੀ</t>
        </is>
      </c>
      <c r="D137" s="17" t="inlineStr">
        <is>
          <t>Lost Both Times (Deficit)</t>
        </is>
      </c>
      <c r="E137" s="12" t="n">
        <v>177</v>
      </c>
      <c r="F137" s="13">
        <f>177/641</f>
        <v/>
      </c>
      <c r="G137" s="14" t="inlineStr">
        <is>
          <t>AAP</t>
        </is>
      </c>
      <c r="H137" s="12" t="n">
        <v>140</v>
      </c>
      <c r="I137" s="13">
        <f>140/631</f>
        <v/>
      </c>
      <c r="J137" s="14" t="inlineStr">
        <is>
          <t>AAP</t>
        </is>
      </c>
      <c r="K137" s="12" t="n">
        <v>-37</v>
      </c>
      <c r="L137" s="15">
        <f>I137-F137</f>
        <v/>
      </c>
      <c r="M137" s="12" t="n">
        <v>90</v>
      </c>
      <c r="N137" s="12" t="n">
        <v>631</v>
      </c>
    </row>
    <row r="138" ht="20" customHeight="1">
      <c r="A138" s="2" t="n">
        <v>137</v>
      </c>
      <c r="B138" s="3" t="inlineStr">
        <is>
          <t>Kotla Sadar</t>
        </is>
      </c>
      <c r="C138" s="3" t="inlineStr">
        <is>
          <t>ਕੋਟਲਾ ਸਦਰ</t>
        </is>
      </c>
      <c r="D138" s="17" t="inlineStr">
        <is>
          <t>Lost Both Times (Deficit)</t>
        </is>
      </c>
      <c r="E138" s="5" t="n">
        <v>120</v>
      </c>
      <c r="F138" s="6">
        <f>120/357</f>
        <v/>
      </c>
      <c r="G138" s="7" t="inlineStr">
        <is>
          <t>SAD</t>
        </is>
      </c>
      <c r="H138" s="5" t="n">
        <v>73</v>
      </c>
      <c r="I138" s="6">
        <f>73/328</f>
        <v/>
      </c>
      <c r="J138" s="7" t="inlineStr">
        <is>
          <t>AAP</t>
        </is>
      </c>
      <c r="K138" s="5" t="n">
        <v>-47</v>
      </c>
      <c r="L138" s="8">
        <f>I138-F138</f>
        <v/>
      </c>
      <c r="M138" s="5" t="n">
        <v>109</v>
      </c>
      <c r="N138" s="5" t="n">
        <v>328</v>
      </c>
    </row>
    <row r="139" ht="20" customHeight="1">
      <c r="A139" s="9" t="n">
        <v>138</v>
      </c>
      <c r="B139" s="10" t="inlineStr">
        <is>
          <t>Chakk Sikander</t>
        </is>
      </c>
      <c r="C139" s="10" t="inlineStr">
        <is>
          <t>ਚੱਕ ਸਿਕੰਦਰ</t>
        </is>
      </c>
      <c r="D139" s="18" t="inlineStr">
        <is>
          <t>Weak Booth (&lt; 20% Share)</t>
        </is>
      </c>
      <c r="E139" s="12" t="n">
        <v>196</v>
      </c>
      <c r="F139" s="13">
        <f>196/810</f>
        <v/>
      </c>
      <c r="G139" s="14" t="inlineStr">
        <is>
          <t>AAP</t>
        </is>
      </c>
      <c r="H139" s="12" t="n">
        <v>110</v>
      </c>
      <c r="I139" s="13">
        <f>110/715</f>
        <v/>
      </c>
      <c r="J139" s="14" t="inlineStr">
        <is>
          <t>AAP</t>
        </is>
      </c>
      <c r="K139" s="12" t="n">
        <v>-86</v>
      </c>
      <c r="L139" s="15">
        <f>I139-F139</f>
        <v/>
      </c>
      <c r="M139" s="12" t="n">
        <v>10</v>
      </c>
      <c r="N139" s="12" t="n">
        <v>715</v>
      </c>
    </row>
    <row r="140" ht="20" customHeight="1">
      <c r="A140" s="2" t="n">
        <v>139</v>
      </c>
      <c r="B140" s="3" t="inlineStr">
        <is>
          <t>Mohan Bhandari</t>
        </is>
      </c>
      <c r="C140" s="3" t="inlineStr">
        <is>
          <t>ਮੋਹਨ ਭੰਡਾਰੀ</t>
        </is>
      </c>
      <c r="D140" s="18" t="inlineStr">
        <is>
          <t>Weak Booth (&lt; 20% Share)</t>
        </is>
      </c>
      <c r="E140" s="5" t="n">
        <v>61</v>
      </c>
      <c r="F140" s="6">
        <f>61/584</f>
        <v/>
      </c>
      <c r="G140" s="7" t="inlineStr">
        <is>
          <t>AAP</t>
        </is>
      </c>
      <c r="H140" s="5" t="n">
        <v>75</v>
      </c>
      <c r="I140" s="6">
        <f>75/471</f>
        <v/>
      </c>
      <c r="J140" s="7" t="inlineStr">
        <is>
          <t>AAP</t>
        </is>
      </c>
      <c r="K140" s="5" t="n">
        <v>14</v>
      </c>
      <c r="L140" s="8">
        <f>I140-F140</f>
        <v/>
      </c>
      <c r="M140" s="5" t="n">
        <v>131</v>
      </c>
      <c r="N140" s="5" t="n">
        <v>471</v>
      </c>
    </row>
    <row r="141" ht="20" customHeight="1">
      <c r="A141" s="9" t="n">
        <v>140</v>
      </c>
      <c r="B141" s="10" t="inlineStr">
        <is>
          <t>Mohan Bhandari</t>
        </is>
      </c>
      <c r="C141" s="10" t="inlineStr">
        <is>
          <t>ਮੋਹਨ ਭੰਡਾਰੀ</t>
        </is>
      </c>
      <c r="D141" s="17" t="inlineStr">
        <is>
          <t>Lost Both Times (Deficit)</t>
        </is>
      </c>
      <c r="E141" s="12" t="n">
        <v>136</v>
      </c>
      <c r="F141" s="13">
        <f>136/612</f>
        <v/>
      </c>
      <c r="G141" s="14" t="inlineStr">
        <is>
          <t>AAP</t>
        </is>
      </c>
      <c r="H141" s="12" t="n">
        <v>119</v>
      </c>
      <c r="I141" s="13">
        <f>119/513</f>
        <v/>
      </c>
      <c r="J141" s="14" t="inlineStr">
        <is>
          <t>AAP</t>
        </is>
      </c>
      <c r="K141" s="12" t="n">
        <v>-17</v>
      </c>
      <c r="L141" s="15">
        <f>I141-F141</f>
        <v/>
      </c>
      <c r="M141" s="12" t="n">
        <v>125</v>
      </c>
      <c r="N141" s="12" t="n">
        <v>513</v>
      </c>
    </row>
    <row r="142" ht="20" customHeight="1">
      <c r="A142" s="2" t="n">
        <v>141</v>
      </c>
      <c r="B142" s="3" t="inlineStr">
        <is>
          <t>Vachoaa</t>
        </is>
      </c>
      <c r="C142" s="3" t="inlineStr">
        <is>
          <t>ਵਾਚੋਆ</t>
        </is>
      </c>
      <c r="D142" s="11" t="inlineStr">
        <is>
          <t>Won Both Times (Stronghold)</t>
        </is>
      </c>
      <c r="E142" s="5" t="n">
        <v>227</v>
      </c>
      <c r="F142" s="6">
        <f>227/699</f>
        <v/>
      </c>
      <c r="G142" s="7" t="inlineStr">
        <is>
          <t>INC</t>
        </is>
      </c>
      <c r="H142" s="5" t="n">
        <v>217</v>
      </c>
      <c r="I142" s="6">
        <f>217/625</f>
        <v/>
      </c>
      <c r="J142" s="7" t="inlineStr">
        <is>
          <t>INC</t>
        </is>
      </c>
      <c r="K142" s="5" t="n">
        <v>-10</v>
      </c>
      <c r="L142" s="8">
        <f>I142-F142</f>
        <v/>
      </c>
      <c r="M142" s="5" t="n">
        <v>20</v>
      </c>
      <c r="N142" s="5" t="n">
        <v>625</v>
      </c>
    </row>
    <row r="143" ht="20" customHeight="1">
      <c r="A143" s="9" t="n">
        <v>142</v>
      </c>
      <c r="B143" s="10" t="inlineStr">
        <is>
          <t>Vachoaa</t>
        </is>
      </c>
      <c r="C143" s="10" t="inlineStr">
        <is>
          <t>ਵਾਚੋਆ</t>
        </is>
      </c>
      <c r="D143" s="17" t="inlineStr">
        <is>
          <t>Lost Both Times (Deficit)</t>
        </is>
      </c>
      <c r="E143" s="12" t="n">
        <v>145</v>
      </c>
      <c r="F143" s="13">
        <f>145/639</f>
        <v/>
      </c>
      <c r="G143" s="14" t="inlineStr">
        <is>
          <t>SAD</t>
        </is>
      </c>
      <c r="H143" s="12" t="n">
        <v>144</v>
      </c>
      <c r="I143" s="13">
        <f>144/579</f>
        <v/>
      </c>
      <c r="J143" s="14" t="inlineStr">
        <is>
          <t>AAP</t>
        </is>
      </c>
      <c r="K143" s="12" t="n">
        <v>-1</v>
      </c>
      <c r="L143" s="15">
        <f>I143-F143</f>
        <v/>
      </c>
      <c r="M143" s="12" t="n">
        <v>33</v>
      </c>
      <c r="N143" s="12" t="n">
        <v>579</v>
      </c>
    </row>
    <row r="144" ht="20" customHeight="1">
      <c r="A144" s="2" t="n">
        <v>143</v>
      </c>
      <c r="B144" s="3" t="inlineStr">
        <is>
          <t>Vachoaa</t>
        </is>
      </c>
      <c r="C144" s="3" t="inlineStr">
        <is>
          <t>ਵਾਚੋਆ</t>
        </is>
      </c>
      <c r="D144" s="17" t="inlineStr">
        <is>
          <t>Lost Both Times (Deficit)</t>
        </is>
      </c>
      <c r="E144" s="5" t="n">
        <v>166</v>
      </c>
      <c r="F144" s="6">
        <f>166/537</f>
        <v/>
      </c>
      <c r="G144" s="7" t="inlineStr">
        <is>
          <t>SAD</t>
        </is>
      </c>
      <c r="H144" s="5" t="n">
        <v>151</v>
      </c>
      <c r="I144" s="6">
        <f>151/473</f>
        <v/>
      </c>
      <c r="J144" s="7" t="inlineStr">
        <is>
          <t>AAP</t>
        </is>
      </c>
      <c r="K144" s="5" t="n">
        <v>-15</v>
      </c>
      <c r="L144" s="8">
        <f>I144-F144</f>
        <v/>
      </c>
      <c r="M144" s="5" t="n">
        <v>37</v>
      </c>
      <c r="N144" s="5" t="n">
        <v>473</v>
      </c>
    </row>
    <row r="145" ht="20" customHeight="1">
      <c r="A145" s="9" t="n">
        <v>144</v>
      </c>
      <c r="B145" s="10" t="inlineStr">
        <is>
          <t>Fir Wariah</t>
        </is>
      </c>
      <c r="C145" s="10" t="inlineStr">
        <is>
          <t>ਫਿਰ ਵੜੈਚ</t>
        </is>
      </c>
      <c r="D145" s="11" t="inlineStr">
        <is>
          <t>Won Both Times (Stronghold)</t>
        </is>
      </c>
      <c r="E145" s="12" t="n">
        <v>176</v>
      </c>
      <c r="F145" s="13">
        <f>176/313</f>
        <v/>
      </c>
      <c r="G145" s="14" t="inlineStr">
        <is>
          <t>INC</t>
        </is>
      </c>
      <c r="H145" s="12" t="n">
        <v>164</v>
      </c>
      <c r="I145" s="13">
        <f>164/346</f>
        <v/>
      </c>
      <c r="J145" s="14" t="inlineStr">
        <is>
          <t>INC</t>
        </is>
      </c>
      <c r="K145" s="12" t="n">
        <v>-12</v>
      </c>
      <c r="L145" s="15">
        <f>I145-F145</f>
        <v/>
      </c>
      <c r="M145" s="12" t="n">
        <v>2</v>
      </c>
      <c r="N145" s="12" t="n">
        <v>346</v>
      </c>
    </row>
    <row r="146" ht="20" customHeight="1">
      <c r="A146" s="2" t="n">
        <v>145</v>
      </c>
      <c r="B146" s="3" t="inlineStr">
        <is>
          <t>Kot Kesara Singh</t>
        </is>
      </c>
      <c r="C146" s="3" t="inlineStr">
        <is>
          <t>ਕੋਟ ਕੇਸਰਾ ਸਿੰਘ</t>
        </is>
      </c>
      <c r="D146" s="4" t="inlineStr">
        <is>
          <t>Gained in 2024 (New Win)</t>
        </is>
      </c>
      <c r="E146" s="5" t="n">
        <v>119</v>
      </c>
      <c r="F146" s="6">
        <f>119/373</f>
        <v/>
      </c>
      <c r="G146" s="7" t="inlineStr">
        <is>
          <t>AAP</t>
        </is>
      </c>
      <c r="H146" s="5" t="n">
        <v>149</v>
      </c>
      <c r="I146" s="6">
        <f>149/352</f>
        <v/>
      </c>
      <c r="J146" s="7" t="inlineStr">
        <is>
          <t>INC</t>
        </is>
      </c>
      <c r="K146" s="5" t="n">
        <v>30</v>
      </c>
      <c r="L146" s="8">
        <f>I146-F146</f>
        <v/>
      </c>
      <c r="M146" s="5" t="n">
        <v>54</v>
      </c>
      <c r="N146" s="5" t="n">
        <v>352</v>
      </c>
    </row>
    <row r="147" ht="20" customHeight="1">
      <c r="A147" s="9" t="n">
        <v>146</v>
      </c>
      <c r="B147" s="10" t="inlineStr">
        <is>
          <t>Sangatpura</t>
        </is>
      </c>
      <c r="C147" s="10" t="inlineStr">
        <is>
          <t>ਸੰਗਤਪੁਰਾ</t>
        </is>
      </c>
      <c r="D147" s="18" t="inlineStr">
        <is>
          <t>Weak Booth (&lt; 20% Share)</t>
        </is>
      </c>
      <c r="E147" s="12" t="n">
        <v>145</v>
      </c>
      <c r="F147" s="13">
        <f>145/849</f>
        <v/>
      </c>
      <c r="G147" s="14" t="inlineStr">
        <is>
          <t>AAP</t>
        </is>
      </c>
      <c r="H147" s="12" t="n">
        <v>104</v>
      </c>
      <c r="I147" s="13">
        <f>104/699</f>
        <v/>
      </c>
      <c r="J147" s="14" t="inlineStr">
        <is>
          <t>AAP</t>
        </is>
      </c>
      <c r="K147" s="12" t="n">
        <v>-41</v>
      </c>
      <c r="L147" s="15">
        <f>I147-F147</f>
        <v/>
      </c>
      <c r="M147" s="12" t="n">
        <v>80</v>
      </c>
      <c r="N147" s="12" t="n">
        <v>699</v>
      </c>
    </row>
    <row r="148" ht="20" customHeight="1">
      <c r="A148" s="2" t="n">
        <v>147</v>
      </c>
      <c r="B148" s="3" t="inlineStr">
        <is>
          <t>Sangatpura</t>
        </is>
      </c>
      <c r="C148" s="3" t="inlineStr">
        <is>
          <t>ਸੰਗਤਪੁਰਾ</t>
        </is>
      </c>
      <c r="D148" s="18" t="inlineStr">
        <is>
          <t>Weak Booth (&lt; 20% Share)</t>
        </is>
      </c>
      <c r="E148" s="5" t="n">
        <v>57</v>
      </c>
      <c r="F148" s="6">
        <f>57/409</f>
        <v/>
      </c>
      <c r="G148" s="7" t="inlineStr">
        <is>
          <t>AAP</t>
        </is>
      </c>
      <c r="H148" s="5" t="n">
        <v>38</v>
      </c>
      <c r="I148" s="6">
        <f>38/349</f>
        <v/>
      </c>
      <c r="J148" s="7" t="inlineStr">
        <is>
          <t>AAP</t>
        </is>
      </c>
      <c r="K148" s="5" t="n">
        <v>-19</v>
      </c>
      <c r="L148" s="8">
        <f>I148-F148</f>
        <v/>
      </c>
      <c r="M148" s="5" t="n">
        <v>140</v>
      </c>
      <c r="N148" s="5" t="n">
        <v>349</v>
      </c>
    </row>
    <row r="149" ht="20" customHeight="1">
      <c r="A149" s="9" t="n">
        <v>148</v>
      </c>
      <c r="B149" s="10" t="inlineStr">
        <is>
          <t>Jhander</t>
        </is>
      </c>
      <c r="C149" s="10" t="inlineStr">
        <is>
          <t>ਝੰਡੇਰ</t>
        </is>
      </c>
      <c r="D149" s="16" t="inlineStr">
        <is>
          <t>Lost in 2024 (to SAD)</t>
        </is>
      </c>
      <c r="E149" s="12" t="n">
        <v>280</v>
      </c>
      <c r="F149" s="13">
        <f>280/674</f>
        <v/>
      </c>
      <c r="G149" s="14" t="inlineStr">
        <is>
          <t>INC</t>
        </is>
      </c>
      <c r="H149" s="12" t="n">
        <v>171</v>
      </c>
      <c r="I149" s="13">
        <f>171/644</f>
        <v/>
      </c>
      <c r="J149" s="14" t="inlineStr">
        <is>
          <t>SAD</t>
        </is>
      </c>
      <c r="K149" s="12" t="n">
        <v>-109</v>
      </c>
      <c r="L149" s="15">
        <f>I149-F149</f>
        <v/>
      </c>
      <c r="M149" s="12" t="n">
        <v>60</v>
      </c>
      <c r="N149" s="12" t="n">
        <v>644</v>
      </c>
    </row>
    <row r="150" ht="20" customHeight="1">
      <c r="A150" s="2" t="n">
        <v>149</v>
      </c>
      <c r="B150" s="3" t="inlineStr">
        <is>
          <t>Jhander</t>
        </is>
      </c>
      <c r="C150" s="3" t="inlineStr">
        <is>
          <t>ਝੰਡੇਰ</t>
        </is>
      </c>
      <c r="D150" s="17" t="inlineStr">
        <is>
          <t>Lost Both Times (Deficit)</t>
        </is>
      </c>
      <c r="E150" s="5" t="n">
        <v>188</v>
      </c>
      <c r="F150" s="6">
        <f>188/677</f>
        <v/>
      </c>
      <c r="G150" s="7" t="inlineStr">
        <is>
          <t>AAP</t>
        </is>
      </c>
      <c r="H150" s="5" t="n">
        <v>133</v>
      </c>
      <c r="I150" s="6">
        <f>133/541</f>
        <v/>
      </c>
      <c r="J150" s="7" t="inlineStr">
        <is>
          <t>SAD</t>
        </is>
      </c>
      <c r="K150" s="5" t="n">
        <v>-55</v>
      </c>
      <c r="L150" s="8">
        <f>I150-F150</f>
        <v/>
      </c>
      <c r="M150" s="5" t="n">
        <v>22</v>
      </c>
      <c r="N150" s="5" t="n">
        <v>541</v>
      </c>
    </row>
    <row r="151" ht="20" customHeight="1">
      <c r="A151" s="9" t="n">
        <v>150</v>
      </c>
      <c r="B151" s="10" t="inlineStr">
        <is>
          <t>Salodin</t>
        </is>
      </c>
      <c r="C151" s="10" t="inlineStr">
        <is>
          <t>ਸਲੋਦੀਨ</t>
        </is>
      </c>
      <c r="D151" s="18" t="inlineStr">
        <is>
          <t>Weak Booth (&lt; 20% Share)</t>
        </is>
      </c>
      <c r="E151" s="12" t="n">
        <v>100</v>
      </c>
      <c r="F151" s="13">
        <f>100/482</f>
        <v/>
      </c>
      <c r="G151" s="14" t="inlineStr">
        <is>
          <t>AAP</t>
        </is>
      </c>
      <c r="H151" s="12" t="n">
        <v>50</v>
      </c>
      <c r="I151" s="13">
        <f>50/419</f>
        <v/>
      </c>
      <c r="J151" s="14" t="inlineStr">
        <is>
          <t>SAD</t>
        </is>
      </c>
      <c r="K151" s="12" t="n">
        <v>-50</v>
      </c>
      <c r="L151" s="15">
        <f>I151-F151</f>
        <v/>
      </c>
      <c r="M151" s="12" t="n">
        <v>196</v>
      </c>
      <c r="N151" s="12" t="n">
        <v>419</v>
      </c>
    </row>
    <row r="152" ht="20" customHeight="1">
      <c r="A152" s="2" t="n">
        <v>151</v>
      </c>
      <c r="B152" s="3" t="inlineStr">
        <is>
          <t>Khatrai Kalan</t>
        </is>
      </c>
      <c r="C152" s="3" t="inlineStr">
        <is>
          <t>ਖਤਰਾਏ ਕਲਾਂ</t>
        </is>
      </c>
      <c r="D152" s="18" t="inlineStr">
        <is>
          <t>Weak Booth (&lt; 20% Share)</t>
        </is>
      </c>
      <c r="E152" s="5" t="n">
        <v>196</v>
      </c>
      <c r="F152" s="6">
        <f>196/772</f>
        <v/>
      </c>
      <c r="G152" s="7" t="inlineStr">
        <is>
          <t>AAP</t>
        </is>
      </c>
      <c r="H152" s="5" t="n">
        <v>127</v>
      </c>
      <c r="I152" s="6">
        <f>127/671</f>
        <v/>
      </c>
      <c r="J152" s="7" t="inlineStr">
        <is>
          <t>SAD</t>
        </is>
      </c>
      <c r="K152" s="5" t="n">
        <v>-69</v>
      </c>
      <c r="L152" s="8">
        <f>I152-F152</f>
        <v/>
      </c>
      <c r="M152" s="5" t="n">
        <v>142</v>
      </c>
      <c r="N152" s="5" t="n">
        <v>671</v>
      </c>
    </row>
    <row r="153" ht="20" customHeight="1">
      <c r="A153" s="9" t="n">
        <v>152</v>
      </c>
      <c r="B153" s="10" t="inlineStr">
        <is>
          <t>Bath</t>
        </is>
      </c>
      <c r="C153" s="10" t="inlineStr">
        <is>
          <t>ਬਾਠ</t>
        </is>
      </c>
      <c r="D153" s="17" t="inlineStr">
        <is>
          <t>Lost Both Times (Deficit)</t>
        </is>
      </c>
      <c r="E153" s="12" t="n">
        <v>223</v>
      </c>
      <c r="F153" s="13">
        <f>223/919</f>
        <v/>
      </c>
      <c r="G153" s="14" t="inlineStr">
        <is>
          <t>AAP</t>
        </is>
      </c>
      <c r="H153" s="12" t="n">
        <v>227</v>
      </c>
      <c r="I153" s="13">
        <f>227/772</f>
        <v/>
      </c>
      <c r="J153" s="14" t="inlineStr">
        <is>
          <t>AAP</t>
        </is>
      </c>
      <c r="K153" s="12" t="n">
        <v>4</v>
      </c>
      <c r="L153" s="15">
        <f>I153-F153</f>
        <v/>
      </c>
      <c r="M153" s="12" t="n">
        <v>122</v>
      </c>
      <c r="N153" s="12" t="n">
        <v>772</v>
      </c>
    </row>
    <row r="154" ht="20" customHeight="1">
      <c r="A154" s="2" t="n">
        <v>153</v>
      </c>
      <c r="B154" s="3" t="inlineStr">
        <is>
          <t>Kamalpura</t>
        </is>
      </c>
      <c r="C154" s="3" t="inlineStr">
        <is>
          <t>ਕਮਾਲਪੁਰਾ</t>
        </is>
      </c>
      <c r="D154" s="17" t="inlineStr">
        <is>
          <t>Lost Both Times (Deficit)</t>
        </is>
      </c>
      <c r="E154" s="5" t="n">
        <v>126</v>
      </c>
      <c r="F154" s="6">
        <f>126/650</f>
        <v/>
      </c>
      <c r="G154" s="7" t="inlineStr">
        <is>
          <t>SAD</t>
        </is>
      </c>
      <c r="H154" s="5" t="n">
        <v>174</v>
      </c>
      <c r="I154" s="6">
        <f>174/597</f>
        <v/>
      </c>
      <c r="J154" s="7" t="inlineStr">
        <is>
          <t>SAD</t>
        </is>
      </c>
      <c r="K154" s="5" t="n">
        <v>48</v>
      </c>
      <c r="L154" s="8">
        <f>I154-F154</f>
        <v/>
      </c>
      <c r="M154" s="5" t="n">
        <v>96</v>
      </c>
      <c r="N154" s="5" t="n">
        <v>597</v>
      </c>
    </row>
    <row r="155" ht="20" customHeight="1">
      <c r="A155" s="9" t="n">
        <v>154</v>
      </c>
      <c r="B155" s="10" t="inlineStr">
        <is>
          <t>Kamalpura</t>
        </is>
      </c>
      <c r="C155" s="10" t="inlineStr">
        <is>
          <t>ਕਮਾਲਪੁਰਾ</t>
        </is>
      </c>
      <c r="D155" s="4" t="inlineStr">
        <is>
          <t>Gained in 2024 (New Win)</t>
        </is>
      </c>
      <c r="E155" s="12" t="n">
        <v>174</v>
      </c>
      <c r="F155" s="13">
        <f>174/621</f>
        <v/>
      </c>
      <c r="G155" s="14" t="inlineStr">
        <is>
          <t>AAP</t>
        </is>
      </c>
      <c r="H155" s="12" t="n">
        <v>237</v>
      </c>
      <c r="I155" s="13">
        <f>237/571</f>
        <v/>
      </c>
      <c r="J155" s="14" t="inlineStr">
        <is>
          <t>INC</t>
        </is>
      </c>
      <c r="K155" s="12" t="n">
        <v>63</v>
      </c>
      <c r="L155" s="15">
        <f>I155-F155</f>
        <v/>
      </c>
      <c r="M155" s="12" t="n">
        <v>92</v>
      </c>
      <c r="N155" s="12" t="n">
        <v>571</v>
      </c>
    </row>
    <row r="156" ht="20" customHeight="1">
      <c r="A156" s="2" t="n">
        <v>155</v>
      </c>
      <c r="B156" s="3" t="inlineStr">
        <is>
          <t>Mukam</t>
        </is>
      </c>
      <c r="C156" s="3" t="inlineStr">
        <is>
          <t>ਮੁਕਾਮ</t>
        </is>
      </c>
      <c r="D156" s="16" t="inlineStr">
        <is>
          <t>Lost in 2024 (to BJP)</t>
        </is>
      </c>
      <c r="E156" s="5" t="n">
        <v>275</v>
      </c>
      <c r="F156" s="6">
        <f>275/693</f>
        <v/>
      </c>
      <c r="G156" s="7" t="inlineStr">
        <is>
          <t>INC</t>
        </is>
      </c>
      <c r="H156" s="5" t="n">
        <v>54</v>
      </c>
      <c r="I156" s="6">
        <f>54/632</f>
        <v/>
      </c>
      <c r="J156" s="7" t="inlineStr">
        <is>
          <t>BJP</t>
        </is>
      </c>
      <c r="K156" s="5" t="n">
        <v>-221</v>
      </c>
      <c r="L156" s="8">
        <f>I156-F156</f>
        <v/>
      </c>
      <c r="M156" s="5" t="n">
        <v>67</v>
      </c>
      <c r="N156" s="5" t="n">
        <v>632</v>
      </c>
    </row>
    <row r="157" ht="20" customHeight="1">
      <c r="A157" s="9" t="n">
        <v>156</v>
      </c>
      <c r="B157" s="10" t="inlineStr">
        <is>
          <t>Chamiari</t>
        </is>
      </c>
      <c r="C157" s="10" t="inlineStr">
        <is>
          <t>ਚਮਿਆਰੀ</t>
        </is>
      </c>
      <c r="D157" s="17" t="inlineStr">
        <is>
          <t>Lost Both Times (Deficit)</t>
        </is>
      </c>
      <c r="E157" s="12" t="n">
        <v>157</v>
      </c>
      <c r="F157" s="13">
        <f>157/655</f>
        <v/>
      </c>
      <c r="G157" s="14" t="inlineStr">
        <is>
          <t>AAP</t>
        </is>
      </c>
      <c r="H157" s="12" t="n">
        <v>124</v>
      </c>
      <c r="I157" s="13">
        <f>124/543</f>
        <v/>
      </c>
      <c r="J157" s="14" t="inlineStr">
        <is>
          <t>AAP</t>
        </is>
      </c>
      <c r="K157" s="12" t="n">
        <v>-33</v>
      </c>
      <c r="L157" s="15">
        <f>I157-F157</f>
        <v/>
      </c>
      <c r="M157" s="12" t="n">
        <v>181</v>
      </c>
      <c r="N157" s="12" t="n">
        <v>543</v>
      </c>
    </row>
    <row r="158" ht="20" customHeight="1">
      <c r="A158" s="2" t="n">
        <v>157</v>
      </c>
      <c r="B158" s="3" t="inlineStr">
        <is>
          <t>Chamiari</t>
        </is>
      </c>
      <c r="C158" s="3" t="inlineStr">
        <is>
          <t>ਚਮਿਆਰੀ</t>
        </is>
      </c>
      <c r="D158" s="11" t="inlineStr">
        <is>
          <t>Won Both Times (Stronghold)</t>
        </is>
      </c>
      <c r="E158" s="5" t="n">
        <v>319</v>
      </c>
      <c r="F158" s="6">
        <f>319/788</f>
        <v/>
      </c>
      <c r="G158" s="7" t="inlineStr">
        <is>
          <t>INC</t>
        </is>
      </c>
      <c r="H158" s="5" t="n">
        <v>311</v>
      </c>
      <c r="I158" s="6">
        <f>311/676</f>
        <v/>
      </c>
      <c r="J158" s="7" t="inlineStr">
        <is>
          <t>INC</t>
        </is>
      </c>
      <c r="K158" s="5" t="n">
        <v>-8</v>
      </c>
      <c r="L158" s="8">
        <f>I158-F158</f>
        <v/>
      </c>
      <c r="M158" s="5" t="n">
        <v>37</v>
      </c>
      <c r="N158" s="5" t="n">
        <v>676</v>
      </c>
    </row>
    <row r="159" ht="20" customHeight="1">
      <c r="A159" s="9" t="n">
        <v>158</v>
      </c>
      <c r="B159" s="10" t="inlineStr">
        <is>
          <t>Chamiari</t>
        </is>
      </c>
      <c r="C159" s="10" t="inlineStr">
        <is>
          <t>ਚਮਿਆਰੀ</t>
        </is>
      </c>
      <c r="D159" s="4" t="inlineStr">
        <is>
          <t>Gained in 2024 (New Win)</t>
        </is>
      </c>
      <c r="E159" s="12" t="n">
        <v>213</v>
      </c>
      <c r="F159" s="13">
        <f>213/789</f>
        <v/>
      </c>
      <c r="G159" s="14" t="inlineStr">
        <is>
          <t>AAP</t>
        </is>
      </c>
      <c r="H159" s="12" t="n">
        <v>277</v>
      </c>
      <c r="I159" s="13">
        <f>277/617</f>
        <v/>
      </c>
      <c r="J159" s="14" t="inlineStr">
        <is>
          <t>INC</t>
        </is>
      </c>
      <c r="K159" s="12" t="n">
        <v>64</v>
      </c>
      <c r="L159" s="15">
        <f>I159-F159</f>
        <v/>
      </c>
      <c r="M159" s="12" t="n">
        <v>42</v>
      </c>
      <c r="N159" s="12" t="n">
        <v>617</v>
      </c>
    </row>
    <row r="160" ht="20" customHeight="1">
      <c r="A160" s="2" t="n">
        <v>159</v>
      </c>
      <c r="B160" s="3" t="inlineStr">
        <is>
          <t>Chamiari (Abadi Gujhapir)</t>
        </is>
      </c>
      <c r="C160" s="3" t="inlineStr">
        <is>
          <t>ਚਮਿਆਰੀ (ਆਬਾਦੀ ਗੁੱਝਾਪੀਰ)</t>
        </is>
      </c>
      <c r="D160" s="11" t="inlineStr">
        <is>
          <t>Won Both Times (Stronghold)</t>
        </is>
      </c>
      <c r="E160" s="5" t="n">
        <v>450</v>
      </c>
      <c r="F160" s="6">
        <f>450/1018</f>
        <v/>
      </c>
      <c r="G160" s="7" t="inlineStr">
        <is>
          <t>INC</t>
        </is>
      </c>
      <c r="H160" s="5" t="n">
        <v>466</v>
      </c>
      <c r="I160" s="6">
        <f>466/936</f>
        <v/>
      </c>
      <c r="J160" s="7" t="inlineStr">
        <is>
          <t>INC</t>
        </is>
      </c>
      <c r="K160" s="5" t="n">
        <v>16</v>
      </c>
      <c r="L160" s="8">
        <f>I160-F160</f>
        <v/>
      </c>
      <c r="M160" s="5" t="n">
        <v>152</v>
      </c>
      <c r="N160" s="5" t="n">
        <v>936</v>
      </c>
    </row>
    <row r="161" ht="20" customHeight="1">
      <c r="A161" s="9" t="n">
        <v>160</v>
      </c>
      <c r="B161" s="10" t="inlineStr">
        <is>
          <t>Bhoeawali</t>
        </is>
      </c>
      <c r="C161" s="10" t="inlineStr">
        <is>
          <t>ਭੋਏਵਾਲੀ</t>
        </is>
      </c>
      <c r="D161" s="4" t="inlineStr">
        <is>
          <t>Gained in 2024 (New Win)</t>
        </is>
      </c>
      <c r="E161" s="12" t="n">
        <v>208</v>
      </c>
      <c r="F161" s="13">
        <f>208/650</f>
        <v/>
      </c>
      <c r="G161" s="14" t="inlineStr">
        <is>
          <t>SAD</t>
        </is>
      </c>
      <c r="H161" s="12" t="n">
        <v>201</v>
      </c>
      <c r="I161" s="13">
        <f>201/602</f>
        <v/>
      </c>
      <c r="J161" s="14" t="inlineStr">
        <is>
          <t>INC</t>
        </is>
      </c>
      <c r="K161" s="12" t="n">
        <v>-7</v>
      </c>
      <c r="L161" s="15">
        <f>I161-F161</f>
        <v/>
      </c>
      <c r="M161" s="12" t="n">
        <v>1</v>
      </c>
      <c r="N161" s="12" t="n">
        <v>602</v>
      </c>
    </row>
    <row r="162" ht="20" customHeight="1">
      <c r="A162" s="2" t="n">
        <v>161</v>
      </c>
      <c r="B162" s="3" t="inlineStr">
        <is>
          <t>Bhoeawali</t>
        </is>
      </c>
      <c r="C162" s="3" t="inlineStr">
        <is>
          <t>ਭੋਏਵਾਲੀ</t>
        </is>
      </c>
      <c r="D162" s="11" t="inlineStr">
        <is>
          <t>Won Both Times (Stronghold)</t>
        </is>
      </c>
      <c r="E162" s="5" t="n">
        <v>190</v>
      </c>
      <c r="F162" s="6">
        <f>190/453</f>
        <v/>
      </c>
      <c r="G162" s="7" t="inlineStr">
        <is>
          <t>INC</t>
        </is>
      </c>
      <c r="H162" s="5" t="n">
        <v>208</v>
      </c>
      <c r="I162" s="6">
        <f>208/404</f>
        <v/>
      </c>
      <c r="J162" s="7" t="inlineStr">
        <is>
          <t>INC</t>
        </is>
      </c>
      <c r="K162" s="5" t="n">
        <v>18</v>
      </c>
      <c r="L162" s="8">
        <f>I162-F162</f>
        <v/>
      </c>
      <c r="M162" s="5" t="n">
        <v>115</v>
      </c>
      <c r="N162" s="5" t="n">
        <v>404</v>
      </c>
    </row>
    <row r="163" ht="20" customHeight="1">
      <c r="A163" s="9" t="n">
        <v>162</v>
      </c>
      <c r="B163" s="10" t="inlineStr">
        <is>
          <t>Kiyampur</t>
        </is>
      </c>
      <c r="C163" s="10" t="inlineStr">
        <is>
          <t>ਕਿਆਮਪੁਰ</t>
        </is>
      </c>
      <c r="D163" s="18" t="inlineStr">
        <is>
          <t>Weak Booth (&lt; 20% Share)</t>
        </is>
      </c>
      <c r="E163" s="12" t="n">
        <v>112</v>
      </c>
      <c r="F163" s="13">
        <f>112/870</f>
        <v/>
      </c>
      <c r="G163" s="14" t="inlineStr">
        <is>
          <t>AAP</t>
        </is>
      </c>
      <c r="H163" s="12" t="n">
        <v>116</v>
      </c>
      <c r="I163" s="13">
        <f>116/752</f>
        <v/>
      </c>
      <c r="J163" s="14" t="inlineStr">
        <is>
          <t>SAD</t>
        </is>
      </c>
      <c r="K163" s="12" t="n">
        <v>4</v>
      </c>
      <c r="L163" s="15">
        <f>I163-F163</f>
        <v/>
      </c>
      <c r="M163" s="12" t="n">
        <v>55</v>
      </c>
      <c r="N163" s="12" t="n">
        <v>752</v>
      </c>
    </row>
    <row r="164" ht="20" customHeight="1">
      <c r="A164" s="2" t="n">
        <v>163</v>
      </c>
      <c r="B164" s="3" t="inlineStr">
        <is>
          <t>Kiyampur</t>
        </is>
      </c>
      <c r="C164" s="3" t="inlineStr">
        <is>
          <t>ਕਿਆਮਪੁਰ</t>
        </is>
      </c>
      <c r="D164" s="4" t="inlineStr">
        <is>
          <t>Gained in 2024 (New Win)</t>
        </is>
      </c>
      <c r="E164" s="5" t="n">
        <v>161</v>
      </c>
      <c r="F164" s="6">
        <f>161/499</f>
        <v/>
      </c>
      <c r="G164" s="7" t="inlineStr">
        <is>
          <t>SAD</t>
        </is>
      </c>
      <c r="H164" s="5" t="n">
        <v>136</v>
      </c>
      <c r="I164" s="6">
        <f>136/397</f>
        <v/>
      </c>
      <c r="J164" s="7" t="inlineStr">
        <is>
          <t>INC</t>
        </is>
      </c>
      <c r="K164" s="5" t="n">
        <v>-25</v>
      </c>
      <c r="L164" s="8">
        <f>I164-F164</f>
        <v/>
      </c>
      <c r="M164" s="5" t="n">
        <v>28</v>
      </c>
      <c r="N164" s="5" t="n">
        <v>397</v>
      </c>
    </row>
    <row r="165" ht="20" customHeight="1">
      <c r="A165" s="9" t="n">
        <v>164</v>
      </c>
      <c r="B165" s="10" t="inlineStr">
        <is>
          <t>Terha Khurd</t>
        </is>
      </c>
      <c r="C165" s="10" t="inlineStr">
        <is>
          <t>ਤੇੜ੍ਹਾ ਖੁਰਦ</t>
        </is>
      </c>
      <c r="D165" s="17" t="inlineStr">
        <is>
          <t>Lost Both Times (Deficit)</t>
        </is>
      </c>
      <c r="E165" s="12" t="n">
        <v>277</v>
      </c>
      <c r="F165" s="13">
        <f>277/798</f>
        <v/>
      </c>
      <c r="G165" s="14" t="inlineStr">
        <is>
          <t>AAP</t>
        </is>
      </c>
      <c r="H165" s="12" t="n">
        <v>168</v>
      </c>
      <c r="I165" s="13">
        <f>168/734</f>
        <v/>
      </c>
      <c r="J165" s="14" t="inlineStr">
        <is>
          <t>AAP</t>
        </is>
      </c>
      <c r="K165" s="12" t="n">
        <v>-109</v>
      </c>
      <c r="L165" s="15">
        <f>I165-F165</f>
        <v/>
      </c>
      <c r="M165" s="12" t="n">
        <v>65</v>
      </c>
      <c r="N165" s="12" t="n">
        <v>734</v>
      </c>
    </row>
    <row r="166" ht="20" customHeight="1">
      <c r="A166" s="2" t="n">
        <v>165</v>
      </c>
      <c r="B166" s="3" t="inlineStr">
        <is>
          <t>Terha Kalan</t>
        </is>
      </c>
      <c r="C166" s="3" t="inlineStr">
        <is>
          <t>ਤੇੜ੍ਹਾ ਕਲਾਂ</t>
        </is>
      </c>
      <c r="D166" s="17" t="inlineStr">
        <is>
          <t>Lost Both Times (Deficit)</t>
        </is>
      </c>
      <c r="E166" s="5" t="n">
        <v>118</v>
      </c>
      <c r="F166" s="6">
        <f>118/640</f>
        <v/>
      </c>
      <c r="G166" s="7" t="inlineStr">
        <is>
          <t>AAP</t>
        </is>
      </c>
      <c r="H166" s="5" t="n">
        <v>120</v>
      </c>
      <c r="I166" s="6">
        <f>120/571</f>
        <v/>
      </c>
      <c r="J166" s="7" t="inlineStr">
        <is>
          <t>AAP</t>
        </is>
      </c>
      <c r="K166" s="5" t="n">
        <v>2</v>
      </c>
      <c r="L166" s="8">
        <f>I166-F166</f>
        <v/>
      </c>
      <c r="M166" s="5" t="n">
        <v>84</v>
      </c>
      <c r="N166" s="5" t="n">
        <v>571</v>
      </c>
    </row>
    <row r="167" ht="20" customHeight="1">
      <c r="A167" s="9" t="n">
        <v>166</v>
      </c>
      <c r="B167" s="10" t="inlineStr">
        <is>
          <t>Terha Kalan</t>
        </is>
      </c>
      <c r="C167" s="10" t="inlineStr">
        <is>
          <t>ਤੇੜ੍ਹਾ ਕਲਾਂ</t>
        </is>
      </c>
      <c r="D167" s="18" t="inlineStr">
        <is>
          <t>Weak Booth (&lt; 20% Share)</t>
        </is>
      </c>
      <c r="E167" s="12" t="n">
        <v>108</v>
      </c>
      <c r="F167" s="13">
        <f>108/661</f>
        <v/>
      </c>
      <c r="G167" s="14" t="inlineStr">
        <is>
          <t>SAD</t>
        </is>
      </c>
      <c r="H167" s="12" t="n">
        <v>74</v>
      </c>
      <c r="I167" s="13">
        <f>74/617</f>
        <v/>
      </c>
      <c r="J167" s="14" t="inlineStr">
        <is>
          <t>AAP</t>
        </is>
      </c>
      <c r="K167" s="12" t="n">
        <v>-34</v>
      </c>
      <c r="L167" s="15">
        <f>I167-F167</f>
        <v/>
      </c>
      <c r="M167" s="12" t="n">
        <v>39</v>
      </c>
      <c r="N167" s="12" t="n">
        <v>617</v>
      </c>
    </row>
    <row r="168" ht="20" customHeight="1">
      <c r="A168" s="2" t="n">
        <v>167</v>
      </c>
      <c r="B168" s="3" t="inlineStr">
        <is>
          <t>Khatrai Khurd</t>
        </is>
      </c>
      <c r="C168" s="3" t="inlineStr">
        <is>
          <t>ਖਤਰਾਏ ਖੁਰਦ</t>
        </is>
      </c>
      <c r="D168" s="18" t="inlineStr">
        <is>
          <t>Weak Booth (&lt; 20% Share)</t>
        </is>
      </c>
      <c r="E168" s="5" t="n">
        <v>73</v>
      </c>
      <c r="F168" s="6">
        <f>73/430</f>
        <v/>
      </c>
      <c r="G168" s="7" t="inlineStr">
        <is>
          <t>AAP</t>
        </is>
      </c>
      <c r="H168" s="5" t="n">
        <v>50</v>
      </c>
      <c r="I168" s="6">
        <f>50/387</f>
        <v/>
      </c>
      <c r="J168" s="7" t="inlineStr">
        <is>
          <t>SAD</t>
        </is>
      </c>
      <c r="K168" s="5" t="n">
        <v>-23</v>
      </c>
      <c r="L168" s="8">
        <f>I168-F168</f>
        <v/>
      </c>
      <c r="M168" s="5" t="n">
        <v>78</v>
      </c>
      <c r="N168" s="5" t="n">
        <v>387</v>
      </c>
    </row>
    <row r="169" ht="20" customHeight="1">
      <c r="A169" s="9" t="n">
        <v>168</v>
      </c>
      <c r="B169" s="10" t="inlineStr">
        <is>
          <t>Lashkari Nangal</t>
        </is>
      </c>
      <c r="C169" s="10" t="inlineStr">
        <is>
          <t>ਲਸ਼ਕਰੀ ਨੰਗਲ</t>
        </is>
      </c>
      <c r="D169" s="17" t="inlineStr">
        <is>
          <t>Lost Both Times (Deficit)</t>
        </is>
      </c>
      <c r="E169" s="12" t="n">
        <v>189</v>
      </c>
      <c r="F169" s="13">
        <f>189/867</f>
        <v/>
      </c>
      <c r="G169" s="14" t="inlineStr">
        <is>
          <t>SAD</t>
        </is>
      </c>
      <c r="H169" s="12" t="n">
        <v>172</v>
      </c>
      <c r="I169" s="13">
        <f>172/781</f>
        <v/>
      </c>
      <c r="J169" s="14" t="inlineStr">
        <is>
          <t>SAD</t>
        </is>
      </c>
      <c r="K169" s="12" t="n">
        <v>-17</v>
      </c>
      <c r="L169" s="15">
        <f>I169-F169</f>
        <v/>
      </c>
      <c r="M169" s="12" t="n">
        <v>142</v>
      </c>
      <c r="N169" s="12" t="n">
        <v>781</v>
      </c>
    </row>
    <row r="170" ht="20" customHeight="1">
      <c r="A170" s="2" t="n">
        <v>169</v>
      </c>
      <c r="B170" s="3" t="inlineStr">
        <is>
          <t>Kandowali</t>
        </is>
      </c>
      <c r="C170" s="3" t="inlineStr">
        <is>
          <t>ਕੰਦੋਵਾਲੀ</t>
        </is>
      </c>
      <c r="D170" s="18" t="inlineStr">
        <is>
          <t>Weak Booth (&lt; 20% Share)</t>
        </is>
      </c>
      <c r="E170" s="5" t="n">
        <v>399</v>
      </c>
      <c r="F170" s="6">
        <f>399/919</f>
        <v/>
      </c>
      <c r="G170" s="7" t="inlineStr">
        <is>
          <t>AAP</t>
        </is>
      </c>
      <c r="H170" s="5" t="n">
        <v>137</v>
      </c>
      <c r="I170" s="6">
        <f>137/893</f>
        <v/>
      </c>
      <c r="J170" s="7" t="inlineStr">
        <is>
          <t>AAP</t>
        </is>
      </c>
      <c r="K170" s="5" t="n">
        <v>-262</v>
      </c>
      <c r="L170" s="8">
        <f>I170-F170</f>
        <v/>
      </c>
      <c r="M170" s="5" t="n">
        <v>101</v>
      </c>
      <c r="N170" s="5" t="n">
        <v>893</v>
      </c>
    </row>
    <row r="171" ht="20" customHeight="1">
      <c r="A171" s="9" t="n">
        <v>170</v>
      </c>
      <c r="B171" s="10" t="inlineStr">
        <is>
          <t>Machi Nangal</t>
        </is>
      </c>
      <c r="C171" s="10" t="inlineStr">
        <is>
          <t>ਮਾਛੀ ਨੰਗਲ</t>
        </is>
      </c>
      <c r="D171" s="18" t="inlineStr">
        <is>
          <t>Weak Booth (&lt; 20% Share)</t>
        </is>
      </c>
      <c r="E171" s="12" t="n">
        <v>131</v>
      </c>
      <c r="F171" s="13">
        <f>131/569</f>
        <v/>
      </c>
      <c r="G171" s="14" t="inlineStr">
        <is>
          <t>AAP</t>
        </is>
      </c>
      <c r="H171" s="12" t="n">
        <v>103</v>
      </c>
      <c r="I171" s="13">
        <f>103/530</f>
        <v/>
      </c>
      <c r="J171" s="14" t="inlineStr">
        <is>
          <t>SAD</t>
        </is>
      </c>
      <c r="K171" s="12" t="n">
        <v>-28</v>
      </c>
      <c r="L171" s="15">
        <f>I171-F171</f>
        <v/>
      </c>
      <c r="M171" s="12" t="n">
        <v>47</v>
      </c>
      <c r="N171" s="12" t="n">
        <v>530</v>
      </c>
    </row>
    <row r="172" ht="20" customHeight="1">
      <c r="A172" s="2" t="n">
        <v>171</v>
      </c>
      <c r="B172" s="3" t="inlineStr">
        <is>
          <t>Majjupura</t>
        </is>
      </c>
      <c r="C172" s="3" t="inlineStr">
        <is>
          <t>ਮੱਜੂਪੁਰਾ</t>
        </is>
      </c>
      <c r="D172" s="16" t="inlineStr">
        <is>
          <t>Lost in 2024 (to AAP)</t>
        </is>
      </c>
      <c r="E172" s="5" t="n">
        <v>283</v>
      </c>
      <c r="F172" s="6">
        <f>283/680</f>
        <v/>
      </c>
      <c r="G172" s="7" t="inlineStr">
        <is>
          <t>INC</t>
        </is>
      </c>
      <c r="H172" s="5" t="n">
        <v>191</v>
      </c>
      <c r="I172" s="6">
        <f>191/608</f>
        <v/>
      </c>
      <c r="J172" s="7" t="inlineStr">
        <is>
          <t>AAP</t>
        </is>
      </c>
      <c r="K172" s="5" t="n">
        <v>-92</v>
      </c>
      <c r="L172" s="8">
        <f>I172-F172</f>
        <v/>
      </c>
      <c r="M172" s="5" t="n">
        <v>60</v>
      </c>
      <c r="N172" s="5" t="n">
        <v>608</v>
      </c>
    </row>
    <row r="173" ht="20" customHeight="1">
      <c r="A173" s="9" t="n">
        <v>172</v>
      </c>
      <c r="B173" s="10" t="inlineStr">
        <is>
          <t>Chetan Pura</t>
        </is>
      </c>
      <c r="C173" s="10" t="inlineStr">
        <is>
          <t>ਚੇਤਨ ਪੁਰਾ</t>
        </is>
      </c>
      <c r="D173" s="4" t="inlineStr">
        <is>
          <t>Gained in 2024 (New Win)</t>
        </is>
      </c>
      <c r="E173" s="12" t="n">
        <v>52</v>
      </c>
      <c r="F173" s="13">
        <f>52/469</f>
        <v/>
      </c>
      <c r="G173" s="14" t="inlineStr">
        <is>
          <t>AAP</t>
        </is>
      </c>
      <c r="H173" s="12" t="n">
        <v>146</v>
      </c>
      <c r="I173" s="13">
        <f>146/416</f>
        <v/>
      </c>
      <c r="J173" s="14" t="inlineStr">
        <is>
          <t>INC</t>
        </is>
      </c>
      <c r="K173" s="12" t="n">
        <v>94</v>
      </c>
      <c r="L173" s="15">
        <f>I173-F173</f>
        <v/>
      </c>
      <c r="M173" s="12" t="n">
        <v>1</v>
      </c>
      <c r="N173" s="12" t="n">
        <v>416</v>
      </c>
    </row>
    <row r="174" ht="20" customHeight="1">
      <c r="A174" s="2" t="n">
        <v>173</v>
      </c>
      <c r="B174" s="3" t="inlineStr">
        <is>
          <t>Chetan Pura</t>
        </is>
      </c>
      <c r="C174" s="3" t="inlineStr">
        <is>
          <t>ਚੇਤਨ ਪੁਰਾ</t>
        </is>
      </c>
      <c r="D174" s="17" t="inlineStr">
        <is>
          <t>Lost Both Times (Deficit)</t>
        </is>
      </c>
      <c r="E174" s="5" t="n">
        <v>187</v>
      </c>
      <c r="F174" s="6">
        <f>187/511</f>
        <v/>
      </c>
      <c r="G174" s="7" t="inlineStr">
        <is>
          <t>AAP</t>
        </is>
      </c>
      <c r="H174" s="5" t="n">
        <v>161</v>
      </c>
      <c r="I174" s="6">
        <f>161/454</f>
        <v/>
      </c>
      <c r="J174" s="7" t="inlineStr">
        <is>
          <t>AAP</t>
        </is>
      </c>
      <c r="K174" s="5" t="n">
        <v>-26</v>
      </c>
      <c r="L174" s="8">
        <f>I174-F174</f>
        <v/>
      </c>
      <c r="M174" s="5" t="n">
        <v>17</v>
      </c>
      <c r="N174" s="5" t="n">
        <v>454</v>
      </c>
    </row>
    <row r="175" ht="20" customHeight="1">
      <c r="A175" s="9" t="n">
        <v>174</v>
      </c>
      <c r="B175" s="10" t="inlineStr">
        <is>
          <t>Santu Nangal</t>
        </is>
      </c>
      <c r="C175" s="10" t="inlineStr">
        <is>
          <t>ਸੰਤੂ ਨੰਗਲ</t>
        </is>
      </c>
      <c r="D175" s="16" t="inlineStr">
        <is>
          <t>Lost in 2024 (to AAP)</t>
        </is>
      </c>
      <c r="E175" s="12" t="n">
        <v>242</v>
      </c>
      <c r="F175" s="13">
        <f>242/630</f>
        <v/>
      </c>
      <c r="G175" s="14" t="inlineStr">
        <is>
          <t>INC</t>
        </is>
      </c>
      <c r="H175" s="12" t="n">
        <v>67</v>
      </c>
      <c r="I175" s="13">
        <f>67/556</f>
        <v/>
      </c>
      <c r="J175" s="14" t="inlineStr">
        <is>
          <t>AAP</t>
        </is>
      </c>
      <c r="K175" s="12" t="n">
        <v>-175</v>
      </c>
      <c r="L175" s="15">
        <f>I175-F175</f>
        <v/>
      </c>
      <c r="M175" s="12" t="n">
        <v>35</v>
      </c>
      <c r="N175" s="12" t="n">
        <v>556</v>
      </c>
    </row>
    <row r="176" ht="20" customHeight="1">
      <c r="A176" s="2" t="n">
        <v>175</v>
      </c>
      <c r="B176" s="3" t="inlineStr">
        <is>
          <t>Pathan Nangal</t>
        </is>
      </c>
      <c r="C176" s="3" t="inlineStr">
        <is>
          <t>ਪਠਾਨ ਨੰਗਲ</t>
        </is>
      </c>
      <c r="D176" s="17" t="inlineStr">
        <is>
          <t>Lost Both Times (Deficit)</t>
        </is>
      </c>
      <c r="E176" s="5" t="n">
        <v>91</v>
      </c>
      <c r="F176" s="6">
        <f>91/359</f>
        <v/>
      </c>
      <c r="G176" s="7" t="inlineStr">
        <is>
          <t>AAP</t>
        </is>
      </c>
      <c r="H176" s="5" t="n">
        <v>68</v>
      </c>
      <c r="I176" s="6">
        <f>68/314</f>
        <v/>
      </c>
      <c r="J176" s="7" t="inlineStr">
        <is>
          <t>AAP</t>
        </is>
      </c>
      <c r="K176" s="5" t="n">
        <v>-23</v>
      </c>
      <c r="L176" s="8">
        <f>I176-F176</f>
        <v/>
      </c>
      <c r="M176" s="5" t="n">
        <v>52</v>
      </c>
      <c r="N176" s="5" t="n">
        <v>314</v>
      </c>
    </row>
    <row r="177" ht="20" customHeight="1">
      <c r="A177" s="9" t="n">
        <v>176</v>
      </c>
      <c r="B177" s="10" t="inlineStr">
        <is>
          <t>Kotli Sakia Wali</t>
        </is>
      </c>
      <c r="C177" s="10" t="inlineStr">
        <is>
          <t>ਕੋਟਲੀ ਸਾਕੇ ਵਾਲੀ</t>
        </is>
      </c>
      <c r="D177" s="11" t="inlineStr">
        <is>
          <t>Won Both Times (Stronghold)</t>
        </is>
      </c>
      <c r="E177" s="12" t="n">
        <v>140</v>
      </c>
      <c r="F177" s="13">
        <f>140/380</f>
        <v/>
      </c>
      <c r="G177" s="14" t="inlineStr">
        <is>
          <t>INC</t>
        </is>
      </c>
      <c r="H177" s="12" t="n">
        <v>149</v>
      </c>
      <c r="I177" s="13">
        <f>149/348</f>
        <v/>
      </c>
      <c r="J177" s="14" t="inlineStr">
        <is>
          <t>INC</t>
        </is>
      </c>
      <c r="K177" s="12" t="n">
        <v>9</v>
      </c>
      <c r="L177" s="15">
        <f>I177-F177</f>
        <v/>
      </c>
      <c r="M177" s="12" t="n">
        <v>21</v>
      </c>
      <c r="N177" s="12" t="n">
        <v>348</v>
      </c>
    </row>
    <row r="178" ht="20" customHeight="1">
      <c r="A178" s="2" t="n">
        <v>177</v>
      </c>
      <c r="B178" s="3" t="inlineStr">
        <is>
          <t>Ghukewali</t>
        </is>
      </c>
      <c r="C178" s="3" t="inlineStr">
        <is>
          <t>ਘੁੱਕੇਵਾਲੀ</t>
        </is>
      </c>
      <c r="D178" s="17" t="inlineStr">
        <is>
          <t>Lost Both Times (Deficit)</t>
        </is>
      </c>
      <c r="E178" s="5" t="n">
        <v>240</v>
      </c>
      <c r="F178" s="6">
        <f>240/923</f>
        <v/>
      </c>
      <c r="G178" s="7" t="inlineStr">
        <is>
          <t>AAP</t>
        </is>
      </c>
      <c r="H178" s="5" t="n">
        <v>166</v>
      </c>
      <c r="I178" s="6">
        <f>166/798</f>
        <v/>
      </c>
      <c r="J178" s="7" t="inlineStr">
        <is>
          <t>SAD</t>
        </is>
      </c>
      <c r="K178" s="5" t="n">
        <v>-74</v>
      </c>
      <c r="L178" s="8">
        <f>I178-F178</f>
        <v/>
      </c>
      <c r="M178" s="5" t="n">
        <v>84</v>
      </c>
      <c r="N178" s="5" t="n">
        <v>798</v>
      </c>
    </row>
    <row r="179" ht="20" customHeight="1">
      <c r="A179" s="9" t="n">
        <v>178</v>
      </c>
      <c r="B179" s="10" t="inlineStr">
        <is>
          <t>Saisara</t>
        </is>
      </c>
      <c r="C179" s="10" t="inlineStr">
        <is>
          <t>ਸੈਂਸਰਾ</t>
        </is>
      </c>
      <c r="D179" s="18" t="inlineStr">
        <is>
          <t>Weak Booth (&lt; 20% Share)</t>
        </is>
      </c>
      <c r="E179" s="12" t="n">
        <v>142</v>
      </c>
      <c r="F179" s="13">
        <f>142/589</f>
        <v/>
      </c>
      <c r="G179" s="14" t="inlineStr">
        <is>
          <t>AAP</t>
        </is>
      </c>
      <c r="H179" s="12" t="n">
        <v>104</v>
      </c>
      <c r="I179" s="13">
        <f>104/567</f>
        <v/>
      </c>
      <c r="J179" s="14" t="inlineStr">
        <is>
          <t>AAP</t>
        </is>
      </c>
      <c r="K179" s="12" t="n">
        <v>-38</v>
      </c>
      <c r="L179" s="15">
        <f>I179-F179</f>
        <v/>
      </c>
      <c r="M179" s="12" t="n">
        <v>23</v>
      </c>
      <c r="N179" s="12" t="n">
        <v>567</v>
      </c>
    </row>
    <row r="180" ht="20" customHeight="1">
      <c r="A180" s="2" t="n">
        <v>179</v>
      </c>
      <c r="B180" s="3" t="inlineStr">
        <is>
          <t>Saisara</t>
        </is>
      </c>
      <c r="C180" s="3" t="inlineStr">
        <is>
          <t>ਸੈਂਸਰਾ</t>
        </is>
      </c>
      <c r="D180" s="17" t="inlineStr">
        <is>
          <t>Lost Both Times (Deficit)</t>
        </is>
      </c>
      <c r="E180" s="5" t="n">
        <v>239</v>
      </c>
      <c r="F180" s="6">
        <f>239/789</f>
        <v/>
      </c>
      <c r="G180" s="7" t="inlineStr">
        <is>
          <t>AAP</t>
        </is>
      </c>
      <c r="H180" s="5" t="n">
        <v>179</v>
      </c>
      <c r="I180" s="6">
        <f>179/695</f>
        <v/>
      </c>
      <c r="J180" s="7" t="inlineStr">
        <is>
          <t>AAP</t>
        </is>
      </c>
      <c r="K180" s="5" t="n">
        <v>-60</v>
      </c>
      <c r="L180" s="8">
        <f>I180-F180</f>
        <v/>
      </c>
      <c r="M180" s="5" t="n">
        <v>71</v>
      </c>
      <c r="N180" s="5" t="n">
        <v>695</v>
      </c>
    </row>
    <row r="181" ht="20" customHeight="1">
      <c r="A181" s="9" t="n">
        <v>180</v>
      </c>
      <c r="B181" s="10" t="inlineStr">
        <is>
          <t>Saisara</t>
        </is>
      </c>
      <c r="C181" s="10" t="inlineStr">
        <is>
          <t>ਸੈਂਸਰਾ</t>
        </is>
      </c>
      <c r="D181" s="17" t="inlineStr">
        <is>
          <t>Lost Both Times (Deficit)</t>
        </is>
      </c>
      <c r="E181" s="12" t="n">
        <v>217</v>
      </c>
      <c r="F181" s="13">
        <f>217/834</f>
        <v/>
      </c>
      <c r="G181" s="14" t="inlineStr">
        <is>
          <t>AAP</t>
        </is>
      </c>
      <c r="H181" s="12" t="n">
        <v>192</v>
      </c>
      <c r="I181" s="13">
        <f>192/838</f>
        <v/>
      </c>
      <c r="J181" s="14" t="inlineStr">
        <is>
          <t>AAP</t>
        </is>
      </c>
      <c r="K181" s="12" t="n">
        <v>-25</v>
      </c>
      <c r="L181" s="15">
        <f>I181-F181</f>
        <v/>
      </c>
      <c r="M181" s="12" t="n">
        <v>168</v>
      </c>
      <c r="N181" s="12" t="n">
        <v>838</v>
      </c>
    </row>
    <row r="182" ht="20" customHeight="1">
      <c r="A182" s="2" t="n">
        <v>181</v>
      </c>
      <c r="B182" s="3" t="inlineStr">
        <is>
          <t>Sainsara (Patti Dauki)</t>
        </is>
      </c>
      <c r="C182" s="3" t="inlineStr">
        <is>
          <t>ਸੈਂਸਰਾ (ਪੱਤੀ ਦਾਉਕੀ)</t>
        </is>
      </c>
      <c r="D182" s="16" t="inlineStr">
        <is>
          <t>Lost in 2024 (to AAP)</t>
        </is>
      </c>
      <c r="E182" s="5" t="n">
        <v>258</v>
      </c>
      <c r="F182" s="6">
        <f>258/568</f>
        <v/>
      </c>
      <c r="G182" s="7" t="inlineStr">
        <is>
          <t>INC</t>
        </is>
      </c>
      <c r="H182" s="5" t="n">
        <v>151</v>
      </c>
      <c r="I182" s="6">
        <f>151/545</f>
        <v/>
      </c>
      <c r="J182" s="7" t="inlineStr">
        <is>
          <t>AAP</t>
        </is>
      </c>
      <c r="K182" s="5" t="n">
        <v>-107</v>
      </c>
      <c r="L182" s="8">
        <f>I182-F182</f>
        <v/>
      </c>
      <c r="M182" s="5" t="n">
        <v>78</v>
      </c>
      <c r="N182" s="5" t="n">
        <v>545</v>
      </c>
    </row>
    <row r="183" ht="20" customHeight="1">
      <c r="A183" s="9" t="n">
        <v>182</v>
      </c>
      <c r="B183" s="10" t="inlineStr">
        <is>
          <t>Mahila Wala</t>
        </is>
      </c>
      <c r="C183" s="10" t="inlineStr">
        <is>
          <t>ਮਹਿਲਾ ਵਾਲਾ</t>
        </is>
      </c>
      <c r="D183" s="18" t="inlineStr">
        <is>
          <t>Weak Booth (&lt; 20% Share)</t>
        </is>
      </c>
      <c r="E183" s="12" t="n">
        <v>163</v>
      </c>
      <c r="F183" s="13">
        <f>163/751</f>
        <v/>
      </c>
      <c r="G183" s="14" t="inlineStr">
        <is>
          <t>AAP</t>
        </is>
      </c>
      <c r="H183" s="12" t="n">
        <v>119</v>
      </c>
      <c r="I183" s="13">
        <f>119/646</f>
        <v/>
      </c>
      <c r="J183" s="14" t="inlineStr">
        <is>
          <t>AAP</t>
        </is>
      </c>
      <c r="K183" s="12" t="n">
        <v>-44</v>
      </c>
      <c r="L183" s="15">
        <f>I183-F183</f>
        <v/>
      </c>
      <c r="M183" s="12" t="n">
        <v>30</v>
      </c>
      <c r="N183" s="12" t="n">
        <v>646</v>
      </c>
    </row>
    <row r="184" ht="20" customHeight="1">
      <c r="A184" s="2" t="n">
        <v>183</v>
      </c>
      <c r="B184" s="3" t="inlineStr">
        <is>
          <t>Mahila Wala</t>
        </is>
      </c>
      <c r="C184" s="3" t="inlineStr">
        <is>
          <t>ਮਹਿਲਾ ਵਾਲਾ</t>
        </is>
      </c>
      <c r="D184" s="18" t="inlineStr">
        <is>
          <t>Weak Booth (&lt; 20% Share)</t>
        </is>
      </c>
      <c r="E184" s="5" t="n">
        <v>142</v>
      </c>
      <c r="F184" s="6">
        <f>142/649</f>
        <v/>
      </c>
      <c r="G184" s="7" t="inlineStr">
        <is>
          <t>SAD</t>
        </is>
      </c>
      <c r="H184" s="5" t="n">
        <v>104</v>
      </c>
      <c r="I184" s="6">
        <f>104/594</f>
        <v/>
      </c>
      <c r="J184" s="7" t="inlineStr">
        <is>
          <t>BJP</t>
        </is>
      </c>
      <c r="K184" s="5" t="n">
        <v>-38</v>
      </c>
      <c r="L184" s="8">
        <f>I184-F184</f>
        <v/>
      </c>
      <c r="M184" s="5" t="n">
        <v>74</v>
      </c>
      <c r="N184" s="5" t="n">
        <v>594</v>
      </c>
    </row>
    <row r="185" ht="20" customHeight="1">
      <c r="A185" s="9" t="n">
        <v>184</v>
      </c>
      <c r="B185" s="10" t="inlineStr">
        <is>
          <t>Bhalapind</t>
        </is>
      </c>
      <c r="C185" s="10" t="inlineStr">
        <is>
          <t>ਭਾਲਾਪਿੰਡ</t>
        </is>
      </c>
      <c r="D185" s="4" t="inlineStr">
        <is>
          <t>Gained in 2024 (New Win)</t>
        </is>
      </c>
      <c r="E185" s="12" t="n">
        <v>166</v>
      </c>
      <c r="F185" s="13">
        <f>166/795</f>
        <v/>
      </c>
      <c r="G185" s="14" t="inlineStr">
        <is>
          <t>AAP</t>
        </is>
      </c>
      <c r="H185" s="12" t="n">
        <v>218</v>
      </c>
      <c r="I185" s="13">
        <f>218/662</f>
        <v/>
      </c>
      <c r="J185" s="14" t="inlineStr">
        <is>
          <t>INC</t>
        </is>
      </c>
      <c r="K185" s="12" t="n">
        <v>52</v>
      </c>
      <c r="L185" s="15">
        <f>I185-F185</f>
        <v/>
      </c>
      <c r="M185" s="12" t="n">
        <v>63</v>
      </c>
      <c r="N185" s="12" t="n">
        <v>662</v>
      </c>
    </row>
    <row r="186" ht="20" customHeight="1">
      <c r="A186" s="2" t="n">
        <v>185</v>
      </c>
      <c r="B186" s="3" t="inlineStr">
        <is>
          <t>Bhalapind</t>
        </is>
      </c>
      <c r="C186" s="3" t="inlineStr">
        <is>
          <t>ਭਾਲਾਪਿੰਡ</t>
        </is>
      </c>
      <c r="D186" s="4" t="inlineStr">
        <is>
          <t>Gained in 2024 (New Win)</t>
        </is>
      </c>
      <c r="E186" s="5" t="n">
        <v>242</v>
      </c>
      <c r="F186" s="6">
        <f>242/865</f>
        <v/>
      </c>
      <c r="G186" s="7" t="inlineStr">
        <is>
          <t>AAP</t>
        </is>
      </c>
      <c r="H186" s="5" t="n">
        <v>191</v>
      </c>
      <c r="I186" s="6">
        <f>191/690</f>
        <v/>
      </c>
      <c r="J186" s="7" t="inlineStr">
        <is>
          <t>INC</t>
        </is>
      </c>
      <c r="K186" s="5" t="n">
        <v>-51</v>
      </c>
      <c r="L186" s="8">
        <f>I186-F186</f>
        <v/>
      </c>
      <c r="M186" s="5" t="n">
        <v>30</v>
      </c>
      <c r="N186" s="5" t="n">
        <v>690</v>
      </c>
    </row>
    <row r="187" ht="20" customHeight="1">
      <c r="A187" s="9" t="n">
        <v>186</v>
      </c>
      <c r="B187" s="10" t="inlineStr">
        <is>
          <t>Dalam</t>
        </is>
      </c>
      <c r="C187" s="10" t="inlineStr">
        <is>
          <t>ਡੱਲਾ / ਦਾਲਮ</t>
        </is>
      </c>
      <c r="D187" s="4" t="inlineStr">
        <is>
          <t>Gained in 2024 (New Win)</t>
        </is>
      </c>
      <c r="E187" s="12" t="n">
        <v>210</v>
      </c>
      <c r="F187" s="13">
        <f>210/827</f>
        <v/>
      </c>
      <c r="G187" s="14" t="inlineStr">
        <is>
          <t>SAD</t>
        </is>
      </c>
      <c r="H187" s="12" t="n">
        <v>223</v>
      </c>
      <c r="I187" s="13">
        <f>223/629</f>
        <v/>
      </c>
      <c r="J187" s="14" t="inlineStr">
        <is>
          <t>INC</t>
        </is>
      </c>
      <c r="K187" s="12" t="n">
        <v>13</v>
      </c>
      <c r="L187" s="15">
        <f>I187-F187</f>
        <v/>
      </c>
      <c r="M187" s="12" t="n">
        <v>86</v>
      </c>
      <c r="N187" s="12" t="n">
        <v>629</v>
      </c>
    </row>
    <row r="188" ht="20" customHeight="1">
      <c r="A188" s="2" t="n">
        <v>187</v>
      </c>
      <c r="B188" s="3" t="inlineStr">
        <is>
          <t>Dadhrai</t>
        </is>
      </c>
      <c r="C188" s="3" t="inlineStr">
        <is>
          <t>ਡਡਰਾਏ</t>
        </is>
      </c>
      <c r="D188" s="4" t="inlineStr">
        <is>
          <t>Gained in 2024 (New Win)</t>
        </is>
      </c>
      <c r="E188" s="5" t="n">
        <v>98</v>
      </c>
      <c r="F188" s="6">
        <f>98/818</f>
        <v/>
      </c>
      <c r="G188" s="7" t="inlineStr">
        <is>
          <t>AAP</t>
        </is>
      </c>
      <c r="H188" s="5" t="n">
        <v>203</v>
      </c>
      <c r="I188" s="6">
        <f>203/658</f>
        <v/>
      </c>
      <c r="J188" s="7" t="inlineStr">
        <is>
          <t>INC</t>
        </is>
      </c>
      <c r="K188" s="5" t="n">
        <v>105</v>
      </c>
      <c r="L188" s="8">
        <f>I188-F188</f>
        <v/>
      </c>
      <c r="M188" s="5" t="n">
        <v>33</v>
      </c>
      <c r="N188" s="5" t="n">
        <v>658</v>
      </c>
    </row>
    <row r="189" ht="20" customHeight="1">
      <c r="A189" s="9" t="n">
        <v>188</v>
      </c>
      <c r="B189" s="10" t="inlineStr">
        <is>
          <t>Salempura</t>
        </is>
      </c>
      <c r="C189" s="10" t="inlineStr">
        <is>
          <t>ਸਲੇਮਪੁਰਾ</t>
        </is>
      </c>
      <c r="D189" s="11" t="inlineStr">
        <is>
          <t>Won Both Times (Stronghold)</t>
        </is>
      </c>
      <c r="E189" s="12" t="n">
        <v>165</v>
      </c>
      <c r="F189" s="13">
        <f>165/394</f>
        <v/>
      </c>
      <c r="G189" s="14" t="inlineStr">
        <is>
          <t>INC</t>
        </is>
      </c>
      <c r="H189" s="12" t="n">
        <v>134</v>
      </c>
      <c r="I189" s="13">
        <f>134/366</f>
        <v/>
      </c>
      <c r="J189" s="14" t="inlineStr">
        <is>
          <t>INC</t>
        </is>
      </c>
      <c r="K189" s="12" t="n">
        <v>-31</v>
      </c>
      <c r="L189" s="15">
        <f>I189-F189</f>
        <v/>
      </c>
      <c r="M189" s="12" t="n">
        <v>26</v>
      </c>
      <c r="N189" s="12" t="n">
        <v>366</v>
      </c>
    </row>
    <row r="190" ht="24" customHeight="1">
      <c r="A190" s="24" t="inlineStr">
        <is>
          <t>TOTAL</t>
        </is>
      </c>
      <c r="B190" s="24" t="inlineStr">
        <is>
          <t>188 Booths</t>
        </is>
      </c>
      <c r="C190" s="24" t="inlineStr">
        <is>
          <t>Constituency Total</t>
        </is>
      </c>
      <c r="D190" s="24" t="inlineStr">
        <is>
          <t>INC Summary</t>
        </is>
      </c>
      <c r="E190" s="25">
        <f>SUM(E2:E189)</f>
        <v/>
      </c>
      <c r="F190" s="26">
        <f>E190/SUM(N2:N189)</f>
        <v/>
      </c>
      <c r="G190" s="24" t="inlineStr">
        <is>
          <t>Assembly Result</t>
        </is>
      </c>
      <c r="H190" s="25">
        <f>SUM(H2:H189)</f>
        <v/>
      </c>
      <c r="I190" s="26">
        <f>H190/SUM(N2:N189)</f>
        <v/>
      </c>
      <c r="J190" s="24" t="inlineStr">
        <is>
          <t>Lok Sabha Segment</t>
        </is>
      </c>
      <c r="K190" s="25">
        <f>H190-E190</f>
        <v/>
      </c>
      <c r="L190" s="27">
        <f>I190-F190</f>
        <v/>
      </c>
      <c r="M190" s="25">
        <f>SUM(M2:M189)</f>
        <v/>
      </c>
      <c r="N190" s="25">
        <f>SUM(N2:N189)</f>
        <v/>
      </c>
    </row>
  </sheetData>
  <pageMargins left="0.6" right="0.6" top="0.75" bottom="0.7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8" customWidth="1" min="2" max="2"/>
    <col width="71" customWidth="1" min="3" max="3"/>
    <col width="17" customWidth="1" min="4" max="4"/>
    <col width="19" customWidth="1" min="5" max="5"/>
    <col width="14" customWidth="1" min="6" max="6"/>
    <col width="16" customWidth="1" min="7" max="7"/>
  </cols>
  <sheetData>
    <row r="1">
      <c r="A1" s="28" t="inlineStr">
        <is>
          <t>AAP (AAM AADMI PARTY) - STRATEGIC BOOTH CLUSTERS (11-AJNALA)</t>
        </is>
      </c>
    </row>
    <row r="2">
      <c r="A2" s="29" t="inlineStr">
        <is>
          <t>Breakdown of Strongholds, Flipped Gains, At-Risk Losses, and Weak Booths</t>
        </is>
      </c>
    </row>
    <row r="3"/>
    <row r="4" ht="24" customHeight="1">
      <c r="A4" s="30" t="inlineStr">
        <is>
          <t>Category</t>
        </is>
      </c>
      <c r="B4" s="30" t="inlineStr">
        <is>
          <t>Booth Count</t>
        </is>
      </c>
      <c r="C4" s="30" t="inlineStr">
        <is>
          <t>Strategic Takeaway</t>
        </is>
      </c>
    </row>
    <row r="5" ht="20" customHeight="1">
      <c r="A5" s="31" t="inlineStr">
        <is>
          <t>Won Both Times (Strongholds)</t>
        </is>
      </c>
      <c r="B5" s="32" t="n">
        <v>62</v>
      </c>
      <c r="C5" s="33" t="inlineStr">
        <is>
          <t>Consistently held in 2022 &amp; 2024 (Core Bastions)</t>
        </is>
      </c>
    </row>
    <row r="6" ht="20" customHeight="1">
      <c r="A6" s="34" t="inlineStr">
        <is>
          <t>Gained in 2024 (Flipped in favor)</t>
        </is>
      </c>
      <c r="B6" s="35" t="n">
        <v>30</v>
      </c>
      <c r="C6" s="33" t="inlineStr">
        <is>
          <t>Won in 2024, flipped from rival parties into AAP tally</t>
        </is>
      </c>
    </row>
    <row r="7" ht="20" customHeight="1">
      <c r="A7" s="36" t="inlineStr">
        <is>
          <t>Lost in 2024 (Flipped away)</t>
        </is>
      </c>
      <c r="B7" s="37" t="n">
        <v>45</v>
      </c>
      <c r="C7" s="33" t="inlineStr">
        <is>
          <t>Won in 2022, lost in 2024 (High priority reclamation zones)</t>
        </is>
      </c>
    </row>
    <row r="8" ht="20" customHeight="1">
      <c r="A8" s="38" t="inlineStr">
        <is>
          <t>Weak Booths (&lt; 20% Vote Share)</t>
        </is>
      </c>
      <c r="B8" s="39" t="n">
        <v>10</v>
      </c>
      <c r="C8" s="33" t="inlineStr">
        <is>
          <t>Critically low support base in 2024 (&lt; 20% vote share)</t>
        </is>
      </c>
    </row>
    <row r="9" ht="20" customHeight="1">
      <c r="A9" s="40" t="inlineStr">
        <is>
          <t>Lost Both Times (Deficit)</t>
        </is>
      </c>
      <c r="B9" s="41" t="n">
        <v>41</v>
      </c>
      <c r="C9" s="33" t="inlineStr">
        <is>
          <t>Opponent bastions in both elections (Congress/Akali/BJP strongholds)</t>
        </is>
      </c>
    </row>
    <row r="10"/>
    <row r="11"/>
    <row r="12">
      <c r="A12" s="42" t="inlineStr">
        <is>
          <t>Top 15 AAP Strongholds (Highest Votes in 2024)</t>
        </is>
      </c>
    </row>
    <row r="13" ht="24" customHeight="1">
      <c r="A13" s="43" t="inlineStr">
        <is>
          <t>Booth No</t>
        </is>
      </c>
      <c r="B13" s="43" t="inlineStr">
        <is>
          <t>Village (English)</t>
        </is>
      </c>
      <c r="C13" s="43" t="inlineStr">
        <is>
          <t>Village (Punjabi)</t>
        </is>
      </c>
      <c r="D13" s="43" t="inlineStr">
        <is>
          <t>2024 AAP Votes</t>
        </is>
      </c>
      <c r="E13" s="43" t="inlineStr">
        <is>
          <t>2024 AAP Share %</t>
        </is>
      </c>
      <c r="F13" s="43" t="inlineStr">
        <is>
          <t>2024 Margin</t>
        </is>
      </c>
      <c r="G13" s="43" t="inlineStr">
        <is>
          <t>2022 Result</t>
        </is>
      </c>
    </row>
    <row r="14" ht="20" customHeight="1">
      <c r="A14" s="44" t="n">
        <v>169</v>
      </c>
      <c r="B14" s="10" t="inlineStr">
        <is>
          <t>Kandowali</t>
        </is>
      </c>
      <c r="C14" s="10" t="inlineStr">
        <is>
          <t>ਕੰਦੋਵਾਲੀ</t>
        </is>
      </c>
      <c r="D14" s="44" t="n">
        <v>398</v>
      </c>
      <c r="E14" s="44" t="inlineStr">
        <is>
          <t>44.57%</t>
        </is>
      </c>
      <c r="F14" s="44" t="inlineStr">
        <is>
          <t>+101 lead</t>
        </is>
      </c>
      <c r="G14" s="44" t="inlineStr">
        <is>
          <t>AAP (+1)</t>
        </is>
      </c>
    </row>
    <row r="15" ht="20" customHeight="1">
      <c r="A15" s="44" t="n">
        <v>130</v>
      </c>
      <c r="B15" s="10" t="inlineStr">
        <is>
          <t>Boharh Wala</t>
        </is>
      </c>
      <c r="C15" s="10" t="inlineStr">
        <is>
          <t>ਬੋਹੜ ਵਾਲਾ</t>
        </is>
      </c>
      <c r="D15" s="44" t="n">
        <v>392</v>
      </c>
      <c r="E15" s="44" t="inlineStr">
        <is>
          <t>59.48%</t>
        </is>
      </c>
      <c r="F15" s="44" t="inlineStr">
        <is>
          <t>+184 lead</t>
        </is>
      </c>
      <c r="G15" s="44" t="inlineStr">
        <is>
          <t>SAD (+288)</t>
        </is>
      </c>
    </row>
    <row r="16" ht="20" customHeight="1">
      <c r="A16" s="44" t="n">
        <v>134</v>
      </c>
      <c r="B16" s="10" t="inlineStr">
        <is>
          <t>Nawan Pind</t>
        </is>
      </c>
      <c r="C16" s="10" t="inlineStr">
        <is>
          <t>ਨਵਾਂ ਪਿੰਡ</t>
        </is>
      </c>
      <c r="D16" s="44" t="n">
        <v>367</v>
      </c>
      <c r="E16" s="44" t="inlineStr">
        <is>
          <t>64.73%</t>
        </is>
      </c>
      <c r="F16" s="44" t="inlineStr">
        <is>
          <t>+251 lead</t>
        </is>
      </c>
      <c r="G16" s="44" t="inlineStr">
        <is>
          <t>SAD (+145)</t>
        </is>
      </c>
    </row>
    <row r="17" ht="20" customHeight="1">
      <c r="A17" s="44" t="n">
        <v>180</v>
      </c>
      <c r="B17" s="10" t="inlineStr">
        <is>
          <t>Saisara</t>
        </is>
      </c>
      <c r="C17" s="10" t="inlineStr">
        <is>
          <t>ਸੈਂਸਰਾ</t>
        </is>
      </c>
      <c r="D17" s="44" t="n">
        <v>360</v>
      </c>
      <c r="E17" s="44" t="inlineStr">
        <is>
          <t>42.96%</t>
        </is>
      </c>
      <c r="F17" s="44" t="inlineStr">
        <is>
          <t>+168 lead</t>
        </is>
      </c>
      <c r="G17" s="44" t="inlineStr">
        <is>
          <t>AAP (+148)</t>
        </is>
      </c>
    </row>
    <row r="18" ht="20" customHeight="1">
      <c r="A18" s="44" t="n">
        <v>90</v>
      </c>
      <c r="B18" s="10" t="inlineStr">
        <is>
          <t>Ajnala (Tehsil/Civil)</t>
        </is>
      </c>
      <c r="C18" s="10" t="inlineStr">
        <is>
          <t>ਅਜਨਾਲਾ (ਤਹਿਸੀਲ/ਸਿਵਲ)</t>
        </is>
      </c>
      <c r="D18" s="44" t="n">
        <v>359</v>
      </c>
      <c r="E18" s="44" t="inlineStr">
        <is>
          <t>42.04%</t>
        </is>
      </c>
      <c r="F18" s="44" t="inlineStr">
        <is>
          <t>+167 lead</t>
        </is>
      </c>
      <c r="G18" s="44" t="inlineStr">
        <is>
          <t>AAP (+129)</t>
        </is>
      </c>
    </row>
    <row r="19" ht="20" customHeight="1">
      <c r="A19" s="44" t="n">
        <v>35</v>
      </c>
      <c r="B19" s="10" t="inlineStr">
        <is>
          <t>Chaharhpur</t>
        </is>
      </c>
      <c r="C19" s="10" t="inlineStr">
        <is>
          <t>ਚਾਹੜਪੁਰ</t>
        </is>
      </c>
      <c r="D19" s="44" t="n">
        <v>355</v>
      </c>
      <c r="E19" s="44" t="inlineStr">
        <is>
          <t>53.63%</t>
        </is>
      </c>
      <c r="F19" s="44" t="inlineStr">
        <is>
          <t>+139 lead</t>
        </is>
      </c>
      <c r="G19" s="44" t="inlineStr">
        <is>
          <t>AAP (+1)</t>
        </is>
      </c>
    </row>
    <row r="20" ht="20" customHeight="1">
      <c r="A20" s="44" t="n">
        <v>152</v>
      </c>
      <c r="B20" s="10" t="inlineStr">
        <is>
          <t>Bath</t>
        </is>
      </c>
      <c r="C20" s="10" t="inlineStr">
        <is>
          <t>ਬਾਠ</t>
        </is>
      </c>
      <c r="D20" s="44" t="n">
        <v>349</v>
      </c>
      <c r="E20" s="44" t="inlineStr">
        <is>
          <t>45.21%</t>
        </is>
      </c>
      <c r="F20" s="44" t="inlineStr">
        <is>
          <t>+122 lead</t>
        </is>
      </c>
      <c r="G20" s="44" t="inlineStr">
        <is>
          <t>AAP (+169)</t>
        </is>
      </c>
    </row>
    <row r="21" ht="20" customHeight="1">
      <c r="A21" s="44" t="n">
        <v>22</v>
      </c>
      <c r="B21" s="10" t="inlineStr">
        <is>
          <t>Awaan (Near Ramdas)</t>
        </is>
      </c>
      <c r="C21" s="10" t="inlineStr">
        <is>
          <t>ਅਵਾਨ (ਨੇੜੇ ਰਾਮਦਾਸ)</t>
        </is>
      </c>
      <c r="D21" s="44" t="n">
        <v>327</v>
      </c>
      <c r="E21" s="44" t="inlineStr">
        <is>
          <t>43.31%</t>
        </is>
      </c>
      <c r="F21" s="44" t="inlineStr">
        <is>
          <t>+128 lead</t>
        </is>
      </c>
      <c r="G21" s="44" t="inlineStr">
        <is>
          <t>AAP (+213)</t>
        </is>
      </c>
    </row>
    <row r="22" ht="20" customHeight="1">
      <c r="A22" s="44" t="n">
        <v>1</v>
      </c>
      <c r="B22" s="10" t="inlineStr">
        <is>
          <t>Ghonewahla</t>
        </is>
      </c>
      <c r="C22" s="10" t="inlineStr">
        <is>
          <t>ਘੋਣੇਵਾਲਾ</t>
        </is>
      </c>
      <c r="D22" s="44" t="n">
        <v>326</v>
      </c>
      <c r="E22" s="44" t="inlineStr">
        <is>
          <t>46.57%</t>
        </is>
      </c>
      <c r="F22" s="44" t="inlineStr">
        <is>
          <t>+135 lead</t>
        </is>
      </c>
      <c r="G22" s="44" t="inlineStr">
        <is>
          <t>INC (+79)</t>
        </is>
      </c>
    </row>
    <row r="23" ht="20" customHeight="1">
      <c r="A23" s="44" t="n">
        <v>112</v>
      </c>
      <c r="B23" s="10" t="inlineStr">
        <is>
          <t>Diyalpura</t>
        </is>
      </c>
      <c r="C23" s="10" t="inlineStr">
        <is>
          <t>ਦਿਆਲਪੁਰਾ</t>
        </is>
      </c>
      <c r="D23" s="44" t="n">
        <v>325</v>
      </c>
      <c r="E23" s="44" t="inlineStr">
        <is>
          <t>43.45%</t>
        </is>
      </c>
      <c r="F23" s="44" t="inlineStr">
        <is>
          <t>+169 lead</t>
        </is>
      </c>
      <c r="G23" s="44" t="inlineStr">
        <is>
          <t>AAP (+113)</t>
        </is>
      </c>
    </row>
    <row r="24" ht="20" customHeight="1">
      <c r="A24" s="44" t="n">
        <v>51</v>
      </c>
      <c r="B24" s="10" t="inlineStr">
        <is>
          <t>Balarhwal</t>
        </is>
      </c>
      <c r="C24" s="10" t="inlineStr">
        <is>
          <t>ਬਲੜ੍ਹਵਾਲ</t>
        </is>
      </c>
      <c r="D24" s="44" t="n">
        <v>313</v>
      </c>
      <c r="E24" s="44" t="inlineStr">
        <is>
          <t>34.59%</t>
        </is>
      </c>
      <c r="F24" s="44" t="inlineStr">
        <is>
          <t>+119 lead</t>
        </is>
      </c>
      <c r="G24" s="44" t="inlineStr">
        <is>
          <t>AAP (+74)</t>
        </is>
      </c>
    </row>
    <row r="25" ht="20" customHeight="1">
      <c r="A25" s="44" t="n">
        <v>45</v>
      </c>
      <c r="B25" s="10" t="inlineStr">
        <is>
          <t>Terha Rajputa</t>
        </is>
      </c>
      <c r="C25" s="10" t="inlineStr">
        <is>
          <t>ਤੇੜ੍ਹਾ ਰਾਜਪੂਤਾਂ</t>
        </is>
      </c>
      <c r="D25" s="44" t="n">
        <v>305</v>
      </c>
      <c r="E25" s="44" t="inlineStr">
        <is>
          <t>37.38%</t>
        </is>
      </c>
      <c r="F25" s="44" t="inlineStr">
        <is>
          <t>+77 lead</t>
        </is>
      </c>
      <c r="G25" s="44" t="inlineStr">
        <is>
          <t>AAP (+181)</t>
        </is>
      </c>
    </row>
    <row r="26" ht="20" customHeight="1">
      <c r="A26" s="44" t="n">
        <v>156</v>
      </c>
      <c r="B26" s="10" t="inlineStr">
        <is>
          <t>Chamiari</t>
        </is>
      </c>
      <c r="C26" s="10" t="inlineStr">
        <is>
          <t>ਚਮਿਆਰੀ</t>
        </is>
      </c>
      <c r="D26" s="44" t="n">
        <v>305</v>
      </c>
      <c r="E26" s="44" t="inlineStr">
        <is>
          <t>56.17%</t>
        </is>
      </c>
      <c r="F26" s="44" t="inlineStr">
        <is>
          <t>+181 lead</t>
        </is>
      </c>
      <c r="G26" s="44" t="inlineStr">
        <is>
          <t>AAP (+159)</t>
        </is>
      </c>
    </row>
    <row r="27" ht="20" customHeight="1">
      <c r="A27" s="44" t="n">
        <v>62</v>
      </c>
      <c r="B27" s="10" t="inlineStr">
        <is>
          <t>Vanjhan Wala</t>
        </is>
      </c>
      <c r="C27" s="10" t="inlineStr">
        <is>
          <t>ਵੰਝਾਂ ਵਾਲਾ</t>
        </is>
      </c>
      <c r="D27" s="44" t="n">
        <v>303</v>
      </c>
      <c r="E27" s="44" t="inlineStr">
        <is>
          <t>51.79%</t>
        </is>
      </c>
      <c r="F27" s="44" t="inlineStr">
        <is>
          <t>+179 lead</t>
        </is>
      </c>
      <c r="G27" s="44" t="inlineStr">
        <is>
          <t>SAD (+9)</t>
        </is>
      </c>
    </row>
    <row r="28" ht="20" customHeight="1">
      <c r="A28" s="44" t="n">
        <v>9</v>
      </c>
      <c r="B28" s="10" t="inlineStr">
        <is>
          <t>Mahimad Mandra Wala</t>
        </is>
      </c>
      <c r="C28" s="10" t="inlineStr">
        <is>
          <t>ਮਹਿਮਦ ਮਾਂਦਰਾ ਵਾਲਾ</t>
        </is>
      </c>
      <c r="D28" s="44" t="n">
        <v>302</v>
      </c>
      <c r="E28" s="44" t="inlineStr">
        <is>
          <t>39.84%</t>
        </is>
      </c>
      <c r="F28" s="44" t="inlineStr">
        <is>
          <t>+136 lead</t>
        </is>
      </c>
      <c r="G28" s="44" t="inlineStr">
        <is>
          <t>AAP (+66)</t>
        </is>
      </c>
    </row>
    <row r="29"/>
    <row r="30"/>
    <row r="31">
      <c r="A31" s="42" t="inlineStr">
        <is>
          <t>Top 15 Weakest Booths for AAP in 2024 (&lt; 20% Vote Share)</t>
        </is>
      </c>
    </row>
    <row r="32" ht="24" customHeight="1">
      <c r="A32" s="45" t="inlineStr">
        <is>
          <t>Booth No</t>
        </is>
      </c>
      <c r="B32" s="45" t="inlineStr">
        <is>
          <t>Village (English)</t>
        </is>
      </c>
      <c r="C32" s="45" t="inlineStr">
        <is>
          <t>Village (Punjabi)</t>
        </is>
      </c>
      <c r="D32" s="45" t="inlineStr">
        <is>
          <t>2024 AAP Votes</t>
        </is>
      </c>
      <c r="E32" s="45" t="inlineStr">
        <is>
          <t>2024 AAP Share %</t>
        </is>
      </c>
      <c r="F32" s="45" t="inlineStr">
        <is>
          <t>2024 Winner</t>
        </is>
      </c>
      <c r="G32" s="45" t="inlineStr">
        <is>
          <t>Winner Margin</t>
        </is>
      </c>
    </row>
    <row r="33" ht="20" customHeight="1">
      <c r="A33" s="44" t="n">
        <v>72</v>
      </c>
      <c r="B33" s="10" t="inlineStr">
        <is>
          <t>Chakk Dogra</t>
        </is>
      </c>
      <c r="C33" s="10" t="inlineStr">
        <is>
          <t>ਚੱਕ ਡੋਗਰਾ</t>
        </is>
      </c>
      <c r="D33" s="44" t="n">
        <v>52</v>
      </c>
      <c r="E33" s="44" t="inlineStr">
        <is>
          <t>8.8%</t>
        </is>
      </c>
      <c r="F33" s="44" t="inlineStr">
        <is>
          <t>BJP</t>
        </is>
      </c>
      <c r="G33" s="44" t="inlineStr">
        <is>
          <t>-70 deficit</t>
        </is>
      </c>
    </row>
    <row r="34" ht="20" customHeight="1">
      <c r="A34" s="44" t="n">
        <v>71</v>
      </c>
      <c r="B34" s="10" t="inlineStr">
        <is>
          <t>Chakk Dogra</t>
        </is>
      </c>
      <c r="C34" s="10" t="inlineStr">
        <is>
          <t>ਚੱਕ ਡੋਗਰਾ</t>
        </is>
      </c>
      <c r="D34" s="44" t="n">
        <v>74</v>
      </c>
      <c r="E34" s="44" t="inlineStr">
        <is>
          <t>9.4%</t>
        </is>
      </c>
      <c r="F34" s="44" t="inlineStr">
        <is>
          <t>SAD</t>
        </is>
      </c>
      <c r="G34" s="44" t="inlineStr">
        <is>
          <t>-227 deficit</t>
        </is>
      </c>
    </row>
    <row r="35" ht="20" customHeight="1">
      <c r="A35" s="44" t="n">
        <v>159</v>
      </c>
      <c r="B35" s="10" t="inlineStr">
        <is>
          <t>Chamiari (Abadi Gujhapir)</t>
        </is>
      </c>
      <c r="C35" s="10" t="inlineStr">
        <is>
          <t>ਚਮਿਆਰੀ (ਆਬਾਦੀ ਗੁੱਝਾਪੀਰ)</t>
        </is>
      </c>
      <c r="D35" s="44" t="n">
        <v>90</v>
      </c>
      <c r="E35" s="44" t="inlineStr">
        <is>
          <t>9.6%</t>
        </is>
      </c>
      <c r="F35" s="44" t="inlineStr">
        <is>
          <t>INC</t>
        </is>
      </c>
      <c r="G35" s="44" t="inlineStr">
        <is>
          <t>-152 deficit</t>
        </is>
      </c>
    </row>
    <row r="36" ht="20" customHeight="1">
      <c r="A36" s="44" t="n">
        <v>46</v>
      </c>
      <c r="B36" s="10" t="inlineStr">
        <is>
          <t>Abadi Dinewali</t>
        </is>
      </c>
      <c r="C36" s="10" t="inlineStr">
        <is>
          <t>ਆਬਾਦੀ ਦੀਨੇਵਾਲੀ</t>
        </is>
      </c>
      <c r="D36" s="44" t="n">
        <v>62</v>
      </c>
      <c r="E36" s="44" t="inlineStr">
        <is>
          <t>10.4%</t>
        </is>
      </c>
      <c r="F36" s="44" t="inlineStr">
        <is>
          <t>BJP</t>
        </is>
      </c>
      <c r="G36" s="44" t="inlineStr">
        <is>
          <t>-59 deficit</t>
        </is>
      </c>
    </row>
    <row r="37" ht="20" customHeight="1">
      <c r="A37" s="44" t="n">
        <v>150</v>
      </c>
      <c r="B37" s="10" t="inlineStr">
        <is>
          <t>Salodin</t>
        </is>
      </c>
      <c r="C37" s="10" t="inlineStr">
        <is>
          <t>ਸਲੋਦੀਨ</t>
        </is>
      </c>
      <c r="D37" s="44" t="n">
        <v>48</v>
      </c>
      <c r="E37" s="44" t="inlineStr">
        <is>
          <t>11.5%</t>
        </is>
      </c>
      <c r="F37" s="44" t="inlineStr">
        <is>
          <t>SAD</t>
        </is>
      </c>
      <c r="G37" s="44" t="inlineStr">
        <is>
          <t>-196 deficit</t>
        </is>
      </c>
    </row>
    <row r="38" ht="20" customHeight="1">
      <c r="A38" s="44" t="n">
        <v>53</v>
      </c>
      <c r="B38" s="10" t="inlineStr">
        <is>
          <t>Khanwal</t>
        </is>
      </c>
      <c r="C38" s="10" t="inlineStr">
        <is>
          <t>ਖਾਨਵਾਲ</t>
        </is>
      </c>
      <c r="D38" s="44" t="n">
        <v>103</v>
      </c>
      <c r="E38" s="44" t="inlineStr">
        <is>
          <t>11.8%</t>
        </is>
      </c>
      <c r="F38" s="44" t="inlineStr">
        <is>
          <t>BJP</t>
        </is>
      </c>
      <c r="G38" s="44" t="inlineStr">
        <is>
          <t>-51 deficit</t>
        </is>
      </c>
    </row>
    <row r="39" ht="20" customHeight="1">
      <c r="A39" s="44" t="n">
        <v>163</v>
      </c>
      <c r="B39" s="10" t="inlineStr">
        <is>
          <t>Kiyampur</t>
        </is>
      </c>
      <c r="C39" s="10" t="inlineStr">
        <is>
          <t>ਕਿਆਮਪੁਰ</t>
        </is>
      </c>
      <c r="D39" s="44" t="n">
        <v>48</v>
      </c>
      <c r="E39" s="44" t="inlineStr">
        <is>
          <t>12.1%</t>
        </is>
      </c>
      <c r="F39" s="44" t="inlineStr">
        <is>
          <t>INC</t>
        </is>
      </c>
      <c r="G39" s="44" t="inlineStr">
        <is>
          <t>-28 deficit</t>
        </is>
      </c>
    </row>
    <row r="40" ht="20" customHeight="1">
      <c r="A40" s="44" t="n">
        <v>49</v>
      </c>
      <c r="B40" s="10" t="inlineStr">
        <is>
          <t>Dalla Rajputa</t>
        </is>
      </c>
      <c r="C40" s="10" t="inlineStr">
        <is>
          <t>ਡੱਲਾ ਰਾਜਪੂਤਾਂ</t>
        </is>
      </c>
      <c r="D40" s="44" t="n">
        <v>69</v>
      </c>
      <c r="E40" s="44" t="inlineStr">
        <is>
          <t>12.1%</t>
        </is>
      </c>
      <c r="F40" s="44" t="inlineStr">
        <is>
          <t>BJP</t>
        </is>
      </c>
      <c r="G40" s="44" t="inlineStr">
        <is>
          <t>-63 deficit</t>
        </is>
      </c>
    </row>
    <row r="41" ht="20" customHeight="1">
      <c r="A41" s="44" t="n">
        <v>67</v>
      </c>
      <c r="B41" s="10" t="inlineStr">
        <is>
          <t>Sarangdev</t>
        </is>
      </c>
      <c r="C41" s="10" t="inlineStr">
        <is>
          <t>ਸਾਰੰਗਦੇਵ</t>
        </is>
      </c>
      <c r="D41" s="44" t="n">
        <v>82</v>
      </c>
      <c r="E41" s="44" t="inlineStr">
        <is>
          <t>12.9%</t>
        </is>
      </c>
      <c r="F41" s="44" t="inlineStr">
        <is>
          <t>BJP</t>
        </is>
      </c>
      <c r="G41" s="44" t="inlineStr">
        <is>
          <t>-80 deficit</t>
        </is>
      </c>
    </row>
    <row r="42" ht="20" customHeight="1">
      <c r="A42" s="44" t="n">
        <v>77</v>
      </c>
      <c r="B42" s="10" t="inlineStr">
        <is>
          <t>Ajnala (Ward 3)</t>
        </is>
      </c>
      <c r="C42" s="10" t="inlineStr">
        <is>
          <t>ਅਜਨਾਲਾ (ਵਾਰਡ 3)</t>
        </is>
      </c>
      <c r="D42" s="44" t="n">
        <v>91</v>
      </c>
      <c r="E42" s="44" t="inlineStr">
        <is>
          <t>13.0%</t>
        </is>
      </c>
      <c r="F42" s="44" t="inlineStr">
        <is>
          <t>BJP</t>
        </is>
      </c>
      <c r="G42" s="44" t="inlineStr">
        <is>
          <t>-358 deficit</t>
        </is>
      </c>
    </row>
    <row r="43" ht="20" customHeight="1">
      <c r="A43" s="44" t="n">
        <v>52</v>
      </c>
      <c r="B43" s="10" t="inlineStr">
        <is>
          <t>Balarhwal</t>
        </is>
      </c>
      <c r="C43" s="10" t="inlineStr">
        <is>
          <t>ਬਲੜ੍ਹਵਾਲ</t>
        </is>
      </c>
      <c r="D43" s="44" t="n">
        <v>135</v>
      </c>
      <c r="E43" s="44" t="inlineStr">
        <is>
          <t>16.0%</t>
        </is>
      </c>
      <c r="F43" s="44" t="inlineStr">
        <is>
          <t>BJP</t>
        </is>
      </c>
      <c r="G43" s="44" t="inlineStr">
        <is>
          <t>-156 deficit</t>
        </is>
      </c>
    </row>
    <row r="44" ht="20" customHeight="1">
      <c r="A44" s="44" t="n">
        <v>60</v>
      </c>
      <c r="B44" s="10" t="inlineStr">
        <is>
          <t>Poonga</t>
        </is>
      </c>
      <c r="C44" s="10" t="inlineStr">
        <is>
          <t>ਪੂੰਗਾ</t>
        </is>
      </c>
      <c r="D44" s="44" t="n">
        <v>87</v>
      </c>
      <c r="E44" s="44" t="inlineStr">
        <is>
          <t>17.8%</t>
        </is>
      </c>
      <c r="F44" s="44" t="inlineStr">
        <is>
          <t>INC</t>
        </is>
      </c>
      <c r="G44" s="44" t="inlineStr">
        <is>
          <t>-30 deficit</t>
        </is>
      </c>
    </row>
    <row r="45" ht="20" customHeight="1">
      <c r="A45" s="44" t="n">
        <v>19</v>
      </c>
      <c r="B45" s="10" t="inlineStr">
        <is>
          <t>Ramdas (Ward 4)</t>
        </is>
      </c>
      <c r="C45" s="10" t="inlineStr">
        <is>
          <t>ਰਾਮਦਾਸ (ਵਾਰਡ 4)</t>
        </is>
      </c>
      <c r="D45" s="44" t="n">
        <v>118</v>
      </c>
      <c r="E45" s="44" t="inlineStr">
        <is>
          <t>18.2%</t>
        </is>
      </c>
      <c r="F45" s="44" t="inlineStr">
        <is>
          <t>INC</t>
        </is>
      </c>
      <c r="G45" s="44" t="inlineStr">
        <is>
          <t>-12 deficit</t>
        </is>
      </c>
    </row>
    <row r="46" ht="20" customHeight="1">
      <c r="A46" s="44" t="n">
        <v>188</v>
      </c>
      <c r="B46" s="10" t="inlineStr">
        <is>
          <t>Salempura</t>
        </is>
      </c>
      <c r="C46" s="10" t="inlineStr">
        <is>
          <t>ਸਲੇਮਪੁਰਾ</t>
        </is>
      </c>
      <c r="D46" s="44" t="n">
        <v>67</v>
      </c>
      <c r="E46" s="44" t="inlineStr">
        <is>
          <t>18.3%</t>
        </is>
      </c>
      <c r="F46" s="44" t="inlineStr">
        <is>
          <t>INC</t>
        </is>
      </c>
      <c r="G46" s="44" t="inlineStr">
        <is>
          <t>-26 deficit</t>
        </is>
      </c>
    </row>
    <row r="47" ht="20" customHeight="1">
      <c r="A47" s="44" t="n">
        <v>11</v>
      </c>
      <c r="B47" s="10" t="inlineStr">
        <is>
          <t>Singhoke</t>
        </is>
      </c>
      <c r="C47" s="10" t="inlineStr">
        <is>
          <t>ਸਿੰਘੋਕੇ</t>
        </is>
      </c>
      <c r="D47" s="44" t="n">
        <v>62</v>
      </c>
      <c r="E47" s="44" t="inlineStr">
        <is>
          <t>18.4%</t>
        </is>
      </c>
      <c r="F47" s="44" t="inlineStr">
        <is>
          <t>SAD</t>
        </is>
      </c>
      <c r="G47" s="44" t="inlineStr">
        <is>
          <t>-24 deficit</t>
        </is>
      </c>
    </row>
  </sheetData>
  <pageMargins left="0.6" right="0.6" top="0.75" bottom="0.7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189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8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width="15" customWidth="1" min="19" max="19"/>
    <col width="24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28" customHeight="1">
      <c r="A1" s="46" t="inlineStr">
        <is>
          <t>Booth No</t>
        </is>
      </c>
      <c r="B1" s="46" t="inlineStr">
        <is>
          <t>Village (English)</t>
        </is>
      </c>
      <c r="C1" s="46" t="inlineStr">
        <is>
          <t>Village (Punjabi)</t>
        </is>
      </c>
      <c r="D1" s="46" t="inlineStr">
        <is>
          <t>2022 Winner</t>
        </is>
      </c>
      <c r="E1" s="46" t="inlineStr">
        <is>
          <t>2022 Margin</t>
        </is>
      </c>
      <c r="F1" s="46" t="inlineStr">
        <is>
          <t>2024 Winner</t>
        </is>
      </c>
      <c r="G1" s="46" t="inlineStr">
        <is>
          <t>2024 Margin</t>
        </is>
      </c>
      <c r="H1" s="46" t="inlineStr">
        <is>
          <t>Shift Status</t>
        </is>
      </c>
      <c r="I1" s="46" t="inlineStr">
        <is>
          <t>2022 INC</t>
        </is>
      </c>
      <c r="J1" s="46" t="inlineStr">
        <is>
          <t>2022 AAP</t>
        </is>
      </c>
      <c r="K1" s="46" t="inlineStr">
        <is>
          <t>2022 SAD</t>
        </is>
      </c>
      <c r="L1" s="46" t="inlineStr">
        <is>
          <t>2022 BJP</t>
        </is>
      </c>
      <c r="M1" s="46" t="inlineStr">
        <is>
          <t>2022 Total</t>
        </is>
      </c>
      <c r="N1" s="46" t="inlineStr">
        <is>
          <t>2024 INC</t>
        </is>
      </c>
      <c r="O1" s="46" t="inlineStr">
        <is>
          <t>2024 AAP</t>
        </is>
      </c>
      <c r="P1" s="46" t="inlineStr">
        <is>
          <t>2024 SAD</t>
        </is>
      </c>
      <c r="Q1" s="46" t="inlineStr">
        <is>
          <t>2024 BJP</t>
        </is>
      </c>
      <c r="R1" s="46" t="inlineStr">
        <is>
          <t>2024 Total</t>
        </is>
      </c>
      <c r="S1" s="46" t="inlineStr">
        <is>
          <t>Turnout Diff</t>
        </is>
      </c>
      <c r="T1" s="46" t="inlineStr">
        <is>
          <t>Turnout %</t>
        </is>
      </c>
      <c r="U1" s="46" t="inlineStr">
        <is>
          <t>INC Shift</t>
        </is>
      </c>
      <c r="V1" s="46" t="inlineStr">
        <is>
          <t>AAP Shift</t>
        </is>
      </c>
      <c r="W1" s="46" t="inlineStr">
        <is>
          <t>SAD Shift</t>
        </is>
      </c>
      <c r="X1" s="46" t="inlineStr">
        <is>
          <t>BJP Shift</t>
        </is>
      </c>
    </row>
    <row r="2" ht="20" customHeight="1">
      <c r="A2" s="47" t="n">
        <v>1</v>
      </c>
      <c r="B2" s="3" t="inlineStr">
        <is>
          <t>Ghonewahla</t>
        </is>
      </c>
      <c r="C2" s="3" t="inlineStr">
        <is>
          <t>ਘੋਣੇਵਾਲਾ</t>
        </is>
      </c>
      <c r="D2" s="7" t="inlineStr">
        <is>
          <t>INC</t>
        </is>
      </c>
      <c r="E2" s="5" t="n">
        <v>79</v>
      </c>
      <c r="F2" s="7" t="inlineStr">
        <is>
          <t>AAP</t>
        </is>
      </c>
      <c r="G2" s="5" t="n">
        <v>135</v>
      </c>
      <c r="H2" s="37" t="inlineStr">
        <is>
          <t>INC → AAP</t>
        </is>
      </c>
      <c r="I2" s="5" t="n">
        <v>300</v>
      </c>
      <c r="J2" s="5" t="n">
        <v>221</v>
      </c>
      <c r="K2" s="5" t="n">
        <v>220</v>
      </c>
      <c r="L2" s="5" t="n">
        <v>1</v>
      </c>
      <c r="M2" s="5" t="n">
        <v>787</v>
      </c>
      <c r="N2" s="5" t="n">
        <v>191</v>
      </c>
      <c r="O2" s="5" t="n">
        <v>326</v>
      </c>
      <c r="P2" s="5" t="n">
        <v>76</v>
      </c>
      <c r="Q2" s="5" t="n">
        <v>57</v>
      </c>
      <c r="R2" s="5" t="n">
        <v>700</v>
      </c>
      <c r="S2" s="5" t="n">
        <v>-87</v>
      </c>
      <c r="T2" s="8" t="n">
        <v>-0.1105</v>
      </c>
      <c r="U2" s="5" t="n">
        <v>-109</v>
      </c>
      <c r="V2" s="5" t="n">
        <v>105</v>
      </c>
      <c r="W2" s="5" t="n">
        <v>-144</v>
      </c>
      <c r="X2" s="5" t="n">
        <v>56</v>
      </c>
    </row>
    <row r="3" ht="20" customHeight="1">
      <c r="A3" s="44" t="n">
        <v>2</v>
      </c>
      <c r="B3" s="10" t="inlineStr">
        <is>
          <t>Machhi Wahla</t>
        </is>
      </c>
      <c r="C3" s="10" t="inlineStr">
        <is>
          <t>ਮੱਛੀਵਾਲਾ</t>
        </is>
      </c>
      <c r="D3" s="14" t="inlineStr">
        <is>
          <t>AAP</t>
        </is>
      </c>
      <c r="E3" s="12" t="n">
        <v>34</v>
      </c>
      <c r="F3" s="14" t="inlineStr">
        <is>
          <t>AAP</t>
        </is>
      </c>
      <c r="G3" s="12" t="n">
        <v>23</v>
      </c>
      <c r="H3" s="32" t="inlineStr">
        <is>
          <t>Retained AAP</t>
        </is>
      </c>
      <c r="I3" s="12" t="n">
        <v>200</v>
      </c>
      <c r="J3" s="12" t="n">
        <v>234</v>
      </c>
      <c r="K3" s="12" t="n">
        <v>168</v>
      </c>
      <c r="L3" s="12" t="n">
        <v>2</v>
      </c>
      <c r="M3" s="12" t="n">
        <v>649</v>
      </c>
      <c r="N3" s="12" t="n">
        <v>208</v>
      </c>
      <c r="O3" s="12" t="n">
        <v>231</v>
      </c>
      <c r="P3" s="12" t="n">
        <v>52</v>
      </c>
      <c r="Q3" s="12" t="n">
        <v>78</v>
      </c>
      <c r="R3" s="12" t="n">
        <v>590</v>
      </c>
      <c r="S3" s="12" t="n">
        <v>-59</v>
      </c>
      <c r="T3" s="15" t="n">
        <v>-0.09089999999999999</v>
      </c>
      <c r="U3" s="12" t="n">
        <v>8</v>
      </c>
      <c r="V3" s="12" t="n">
        <v>-3</v>
      </c>
      <c r="W3" s="12" t="n">
        <v>-116</v>
      </c>
      <c r="X3" s="12" t="n">
        <v>76</v>
      </c>
    </row>
    <row r="4" ht="20" customHeight="1">
      <c r="A4" s="47" t="n">
        <v>3</v>
      </c>
      <c r="B4" s="3" t="inlineStr">
        <is>
          <t>Kot Gurbaksh</t>
        </is>
      </c>
      <c r="C4" s="3" t="inlineStr">
        <is>
          <t>ਕੋਟ ਗੁਰਬਖ਼ਸ਼</t>
        </is>
      </c>
      <c r="D4" s="7" t="inlineStr">
        <is>
          <t>SAD</t>
        </is>
      </c>
      <c r="E4" s="5" t="n">
        <v>1</v>
      </c>
      <c r="F4" s="7" t="inlineStr">
        <is>
          <t>AAP</t>
        </is>
      </c>
      <c r="G4" s="5" t="n">
        <v>70</v>
      </c>
      <c r="H4" s="37" t="inlineStr">
        <is>
          <t>SAD → AAP</t>
        </is>
      </c>
      <c r="I4" s="5" t="n">
        <v>118</v>
      </c>
      <c r="J4" s="5" t="n">
        <v>162</v>
      </c>
      <c r="K4" s="5" t="n">
        <v>163</v>
      </c>
      <c r="L4" s="5" t="n">
        <v>0</v>
      </c>
      <c r="M4" s="5" t="n">
        <v>459</v>
      </c>
      <c r="N4" s="5" t="n">
        <v>79</v>
      </c>
      <c r="O4" s="5" t="n">
        <v>165</v>
      </c>
      <c r="P4" s="5" t="n">
        <v>61</v>
      </c>
      <c r="Q4" s="5" t="n">
        <v>95</v>
      </c>
      <c r="R4" s="5" t="n">
        <v>425</v>
      </c>
      <c r="S4" s="5" t="n">
        <v>-34</v>
      </c>
      <c r="T4" s="8" t="n">
        <v>-0.0741</v>
      </c>
      <c r="U4" s="5" t="n">
        <v>-39</v>
      </c>
      <c r="V4" s="5" t="n">
        <v>3</v>
      </c>
      <c r="W4" s="5" t="n">
        <v>-102</v>
      </c>
      <c r="X4" s="5" t="n">
        <v>95</v>
      </c>
    </row>
    <row r="5" ht="20" customHeight="1">
      <c r="A5" s="44" t="n">
        <v>4</v>
      </c>
      <c r="B5" s="10" t="inlineStr">
        <is>
          <t>Jatta</t>
        </is>
      </c>
      <c r="C5" s="10" t="inlineStr">
        <is>
          <t>ਜੱਟਾ</t>
        </is>
      </c>
      <c r="D5" s="14" t="inlineStr">
        <is>
          <t>AAP</t>
        </is>
      </c>
      <c r="E5" s="12" t="n">
        <v>121</v>
      </c>
      <c r="F5" s="14" t="inlineStr">
        <is>
          <t>AAP</t>
        </is>
      </c>
      <c r="G5" s="12" t="n">
        <v>43</v>
      </c>
      <c r="H5" s="32" t="inlineStr">
        <is>
          <t>Retained AAP</t>
        </is>
      </c>
      <c r="I5" s="12" t="n">
        <v>84</v>
      </c>
      <c r="J5" s="12" t="n">
        <v>290</v>
      </c>
      <c r="K5" s="12" t="n">
        <v>169</v>
      </c>
      <c r="L5" s="12" t="n">
        <v>0</v>
      </c>
      <c r="M5" s="12" t="n">
        <v>591</v>
      </c>
      <c r="N5" s="12" t="n">
        <v>67</v>
      </c>
      <c r="O5" s="12" t="n">
        <v>155</v>
      </c>
      <c r="P5" s="12" t="n">
        <v>112</v>
      </c>
      <c r="Q5" s="12" t="n">
        <v>14</v>
      </c>
      <c r="R5" s="12" t="n">
        <v>452</v>
      </c>
      <c r="S5" s="12" t="n">
        <v>-139</v>
      </c>
      <c r="T5" s="15" t="n">
        <v>-0.2352</v>
      </c>
      <c r="U5" s="12" t="n">
        <v>-17</v>
      </c>
      <c r="V5" s="12" t="n">
        <v>-135</v>
      </c>
      <c r="W5" s="12" t="n">
        <v>-57</v>
      </c>
      <c r="X5" s="12" t="n">
        <v>14</v>
      </c>
    </row>
    <row r="6" ht="20" customHeight="1">
      <c r="A6" s="47" t="n">
        <v>5</v>
      </c>
      <c r="B6" s="3" t="inlineStr">
        <is>
          <t>Shahijada</t>
        </is>
      </c>
      <c r="C6" s="3" t="inlineStr">
        <is>
          <t>ਸ਼ਾਹਜ਼ਾਦਾ</t>
        </is>
      </c>
      <c r="D6" s="7" t="inlineStr">
        <is>
          <t>AAP</t>
        </is>
      </c>
      <c r="E6" s="5" t="n">
        <v>8</v>
      </c>
      <c r="F6" s="7" t="inlineStr">
        <is>
          <t>AAP</t>
        </is>
      </c>
      <c r="G6" s="5" t="n">
        <v>52</v>
      </c>
      <c r="H6" s="32" t="inlineStr">
        <is>
          <t>Retained AAP</t>
        </is>
      </c>
      <c r="I6" s="5" t="n">
        <v>69</v>
      </c>
      <c r="J6" s="5" t="n">
        <v>114</v>
      </c>
      <c r="K6" s="5" t="n">
        <v>106</v>
      </c>
      <c r="L6" s="5" t="n">
        <v>5</v>
      </c>
      <c r="M6" s="5" t="n">
        <v>322</v>
      </c>
      <c r="N6" s="5" t="n">
        <v>69</v>
      </c>
      <c r="O6" s="5" t="n">
        <v>121</v>
      </c>
      <c r="P6" s="5" t="n">
        <v>43</v>
      </c>
      <c r="Q6" s="5" t="n">
        <v>38</v>
      </c>
      <c r="R6" s="5" t="n">
        <v>306</v>
      </c>
      <c r="S6" s="5" t="n">
        <v>-16</v>
      </c>
      <c r="T6" s="8" t="n">
        <v>-0.04969999999999999</v>
      </c>
      <c r="U6" s="5" t="n">
        <v>0</v>
      </c>
      <c r="V6" s="5" t="n">
        <v>7</v>
      </c>
      <c r="W6" s="5" t="n">
        <v>-63</v>
      </c>
      <c r="X6" s="5" t="n">
        <v>33</v>
      </c>
    </row>
    <row r="7" ht="20" customHeight="1">
      <c r="A7" s="44" t="n">
        <v>6</v>
      </c>
      <c r="B7" s="10" t="inlineStr">
        <is>
          <t>Pashiyaan</t>
        </is>
      </c>
      <c r="C7" s="10" t="inlineStr">
        <is>
          <t>ਪਾਸ਼ੀਆ</t>
        </is>
      </c>
      <c r="D7" s="14" t="inlineStr">
        <is>
          <t>INC</t>
        </is>
      </c>
      <c r="E7" s="12" t="n">
        <v>59</v>
      </c>
      <c r="F7" s="14" t="inlineStr">
        <is>
          <t>AAP</t>
        </is>
      </c>
      <c r="G7" s="12" t="n">
        <v>106</v>
      </c>
      <c r="H7" s="37" t="inlineStr">
        <is>
          <t>INC → AAP</t>
        </is>
      </c>
      <c r="I7" s="12" t="n">
        <v>235</v>
      </c>
      <c r="J7" s="12" t="n">
        <v>176</v>
      </c>
      <c r="K7" s="12" t="n">
        <v>102</v>
      </c>
      <c r="L7" s="12" t="n">
        <v>2</v>
      </c>
      <c r="M7" s="12" t="n">
        <v>562</v>
      </c>
      <c r="N7" s="12" t="n">
        <v>157</v>
      </c>
      <c r="O7" s="12" t="n">
        <v>263</v>
      </c>
      <c r="P7" s="12" t="n">
        <v>71</v>
      </c>
      <c r="Q7" s="12" t="n">
        <v>23</v>
      </c>
      <c r="R7" s="12" t="n">
        <v>537</v>
      </c>
      <c r="S7" s="12" t="n">
        <v>-25</v>
      </c>
      <c r="T7" s="15" t="n">
        <v>-0.0445</v>
      </c>
      <c r="U7" s="12" t="n">
        <v>-78</v>
      </c>
      <c r="V7" s="12" t="n">
        <v>87</v>
      </c>
      <c r="W7" s="12" t="n">
        <v>-31</v>
      </c>
      <c r="X7" s="12" t="n">
        <v>21</v>
      </c>
    </row>
    <row r="8" ht="20" customHeight="1">
      <c r="A8" s="47" t="n">
        <v>7</v>
      </c>
      <c r="B8" s="3" t="inlineStr">
        <is>
          <t>Nisoke</t>
        </is>
      </c>
      <c r="C8" s="3" t="inlineStr">
        <is>
          <t>ਨਿਸੋਕੇ</t>
        </is>
      </c>
      <c r="D8" s="7" t="inlineStr">
        <is>
          <t>AAP</t>
        </is>
      </c>
      <c r="E8" s="5" t="n">
        <v>31</v>
      </c>
      <c r="F8" s="7" t="inlineStr">
        <is>
          <t>AAP</t>
        </is>
      </c>
      <c r="G8" s="5" t="n">
        <v>116</v>
      </c>
      <c r="H8" s="32" t="inlineStr">
        <is>
          <t>Retained AAP</t>
        </is>
      </c>
      <c r="I8" s="5" t="n">
        <v>88</v>
      </c>
      <c r="J8" s="5" t="n">
        <v>119</v>
      </c>
      <c r="K8" s="5" t="n">
        <v>80</v>
      </c>
      <c r="L8" s="5" t="n">
        <v>0</v>
      </c>
      <c r="M8" s="5" t="n">
        <v>302</v>
      </c>
      <c r="N8" s="5" t="n">
        <v>38</v>
      </c>
      <c r="O8" s="5" t="n">
        <v>166</v>
      </c>
      <c r="P8" s="5" t="n">
        <v>50</v>
      </c>
      <c r="Q8" s="5" t="n">
        <v>16</v>
      </c>
      <c r="R8" s="5" t="n">
        <v>307</v>
      </c>
      <c r="S8" s="5" t="n">
        <v>5</v>
      </c>
      <c r="T8" s="8" t="n">
        <v>0.0166</v>
      </c>
      <c r="U8" s="5" t="n">
        <v>-50</v>
      </c>
      <c r="V8" s="5" t="n">
        <v>47</v>
      </c>
      <c r="W8" s="5" t="n">
        <v>-30</v>
      </c>
      <c r="X8" s="5" t="n">
        <v>16</v>
      </c>
    </row>
    <row r="9" ht="20" customHeight="1">
      <c r="A9" s="44" t="n">
        <v>8</v>
      </c>
      <c r="B9" s="10" t="inlineStr">
        <is>
          <t>Pandori</t>
        </is>
      </c>
      <c r="C9" s="10" t="inlineStr">
        <is>
          <t>ਪੰਡੋਰੀ</t>
        </is>
      </c>
      <c r="D9" s="14" t="inlineStr">
        <is>
          <t>AAP</t>
        </is>
      </c>
      <c r="E9" s="12" t="n">
        <v>56</v>
      </c>
      <c r="F9" s="14" t="inlineStr">
        <is>
          <t>AAP</t>
        </is>
      </c>
      <c r="G9" s="12" t="n">
        <v>163</v>
      </c>
      <c r="H9" s="32" t="inlineStr">
        <is>
          <t>Retained AAP</t>
        </is>
      </c>
      <c r="I9" s="12" t="n">
        <v>9</v>
      </c>
      <c r="J9" s="12" t="n">
        <v>146</v>
      </c>
      <c r="K9" s="12" t="n">
        <v>90</v>
      </c>
      <c r="L9" s="12" t="n">
        <v>0</v>
      </c>
      <c r="M9" s="12" t="n">
        <v>261</v>
      </c>
      <c r="N9" s="12" t="n">
        <v>33</v>
      </c>
      <c r="O9" s="12" t="n">
        <v>196</v>
      </c>
      <c r="P9" s="12" t="n">
        <v>24</v>
      </c>
      <c r="Q9" s="12" t="n">
        <v>7</v>
      </c>
      <c r="R9" s="12" t="n">
        <v>270</v>
      </c>
      <c r="S9" s="12" t="n">
        <v>9</v>
      </c>
      <c r="T9" s="15" t="n">
        <v>0.0345</v>
      </c>
      <c r="U9" s="12" t="n">
        <v>24</v>
      </c>
      <c r="V9" s="12" t="n">
        <v>50</v>
      </c>
      <c r="W9" s="12" t="n">
        <v>-66</v>
      </c>
      <c r="X9" s="12" t="n">
        <v>7</v>
      </c>
    </row>
    <row r="10" ht="20" customHeight="1">
      <c r="A10" s="47" t="n">
        <v>9</v>
      </c>
      <c r="B10" s="3" t="inlineStr">
        <is>
          <t>Mahimad Mandra Wala</t>
        </is>
      </c>
      <c r="C10" s="3" t="inlineStr">
        <is>
          <t>ਮਹਿਮਦ ਮਾਂਦਰਾ ਵਾਲਾ</t>
        </is>
      </c>
      <c r="D10" s="7" t="inlineStr">
        <is>
          <t>AAP</t>
        </is>
      </c>
      <c r="E10" s="5" t="n">
        <v>66</v>
      </c>
      <c r="F10" s="7" t="inlineStr">
        <is>
          <t>AAP</t>
        </is>
      </c>
      <c r="G10" s="5" t="n">
        <v>136</v>
      </c>
      <c r="H10" s="32" t="inlineStr">
        <is>
          <t>Retained AAP</t>
        </is>
      </c>
      <c r="I10" s="5" t="n">
        <v>226</v>
      </c>
      <c r="J10" s="5" t="n">
        <v>292</v>
      </c>
      <c r="K10" s="5" t="n">
        <v>172</v>
      </c>
      <c r="L10" s="5" t="n">
        <v>1</v>
      </c>
      <c r="M10" s="5" t="n">
        <v>793</v>
      </c>
      <c r="N10" s="5" t="n">
        <v>166</v>
      </c>
      <c r="O10" s="5" t="n">
        <v>302</v>
      </c>
      <c r="P10" s="5" t="n">
        <v>159</v>
      </c>
      <c r="Q10" s="5" t="n">
        <v>75</v>
      </c>
      <c r="R10" s="5" t="n">
        <v>758</v>
      </c>
      <c r="S10" s="5" t="n">
        <v>-35</v>
      </c>
      <c r="T10" s="8" t="n">
        <v>-0.0441</v>
      </c>
      <c r="U10" s="5" t="n">
        <v>-60</v>
      </c>
      <c r="V10" s="5" t="n">
        <v>10</v>
      </c>
      <c r="W10" s="5" t="n">
        <v>-13</v>
      </c>
      <c r="X10" s="5" t="n">
        <v>74</v>
      </c>
    </row>
    <row r="11" ht="20" customHeight="1">
      <c r="A11" s="44" t="n">
        <v>10</v>
      </c>
      <c r="B11" s="10" t="inlineStr">
        <is>
          <t>Mehmad Mandaran Wala</t>
        </is>
      </c>
      <c r="C11" s="10" t="inlineStr">
        <is>
          <t>ਮਹਿਮਦ ਮੰਦਰਾਂ ਵਾਲਾ</t>
        </is>
      </c>
      <c r="D11" s="14" t="inlineStr">
        <is>
          <t>SAD</t>
        </is>
      </c>
      <c r="E11" s="12" t="n">
        <v>8</v>
      </c>
      <c r="F11" s="14" t="inlineStr">
        <is>
          <t>AAP</t>
        </is>
      </c>
      <c r="G11" s="12" t="n">
        <v>19</v>
      </c>
      <c r="H11" s="37" t="inlineStr">
        <is>
          <t>SAD → AAP</t>
        </is>
      </c>
      <c r="I11" s="12" t="n">
        <v>90</v>
      </c>
      <c r="J11" s="12" t="n">
        <v>63</v>
      </c>
      <c r="K11" s="12" t="n">
        <v>98</v>
      </c>
      <c r="L11" s="12" t="n">
        <v>2</v>
      </c>
      <c r="M11" s="12" t="n">
        <v>316</v>
      </c>
      <c r="N11" s="12" t="n">
        <v>68</v>
      </c>
      <c r="O11" s="12" t="n">
        <v>87</v>
      </c>
      <c r="P11" s="12" t="n">
        <v>47</v>
      </c>
      <c r="Q11" s="12" t="n">
        <v>66</v>
      </c>
      <c r="R11" s="12" t="n">
        <v>293</v>
      </c>
      <c r="S11" s="12" t="n">
        <v>-23</v>
      </c>
      <c r="T11" s="15" t="n">
        <v>-0.0728</v>
      </c>
      <c r="U11" s="12" t="n">
        <v>-22</v>
      </c>
      <c r="V11" s="12" t="n">
        <v>24</v>
      </c>
      <c r="W11" s="12" t="n">
        <v>-51</v>
      </c>
      <c r="X11" s="12" t="n">
        <v>64</v>
      </c>
    </row>
    <row r="12" ht="20" customHeight="1">
      <c r="A12" s="47" t="n">
        <v>11</v>
      </c>
      <c r="B12" s="3" t="inlineStr">
        <is>
          <t>Singhoke</t>
        </is>
      </c>
      <c r="C12" s="3" t="inlineStr">
        <is>
          <t>ਸਿੰਘੋਕੇ</t>
        </is>
      </c>
      <c r="D12" s="7" t="inlineStr">
        <is>
          <t>AAP</t>
        </is>
      </c>
      <c r="E12" s="5" t="n">
        <v>36</v>
      </c>
      <c r="F12" s="7" t="inlineStr">
        <is>
          <t>SAD</t>
        </is>
      </c>
      <c r="G12" s="5" t="n">
        <v>24</v>
      </c>
      <c r="H12" s="37" t="inlineStr">
        <is>
          <t>AAP → SAD</t>
        </is>
      </c>
      <c r="I12" s="5" t="n">
        <v>67</v>
      </c>
      <c r="J12" s="5" t="n">
        <v>173</v>
      </c>
      <c r="K12" s="5" t="n">
        <v>137</v>
      </c>
      <c r="L12" s="5" t="n">
        <v>1</v>
      </c>
      <c r="M12" s="5" t="n">
        <v>431</v>
      </c>
      <c r="N12" s="5" t="n">
        <v>96</v>
      </c>
      <c r="O12" s="5" t="n">
        <v>62</v>
      </c>
      <c r="P12" s="5" t="n">
        <v>120</v>
      </c>
      <c r="Q12" s="5" t="n">
        <v>28</v>
      </c>
      <c r="R12" s="5" t="n">
        <v>337</v>
      </c>
      <c r="S12" s="5" t="n">
        <v>-94</v>
      </c>
      <c r="T12" s="8" t="n">
        <v>-0.2181</v>
      </c>
      <c r="U12" s="5" t="n">
        <v>29</v>
      </c>
      <c r="V12" s="5" t="n">
        <v>-111</v>
      </c>
      <c r="W12" s="5" t="n">
        <v>-17</v>
      </c>
      <c r="X12" s="5" t="n">
        <v>27</v>
      </c>
    </row>
    <row r="13" ht="20" customHeight="1">
      <c r="A13" s="44" t="n">
        <v>12</v>
      </c>
      <c r="B13" s="10" t="inlineStr">
        <is>
          <t>Ghumrai</t>
        </is>
      </c>
      <c r="C13" s="10" t="inlineStr">
        <is>
          <t>ਘੁਮਰਾਈ</t>
        </is>
      </c>
      <c r="D13" s="14" t="inlineStr">
        <is>
          <t>SAD</t>
        </is>
      </c>
      <c r="E13" s="12" t="n">
        <v>44</v>
      </c>
      <c r="F13" s="14" t="inlineStr">
        <is>
          <t>INC</t>
        </is>
      </c>
      <c r="G13" s="12" t="n">
        <v>7</v>
      </c>
      <c r="H13" s="37" t="inlineStr">
        <is>
          <t>SAD → INC</t>
        </is>
      </c>
      <c r="I13" s="12" t="n">
        <v>178</v>
      </c>
      <c r="J13" s="12" t="n">
        <v>124</v>
      </c>
      <c r="K13" s="12" t="n">
        <v>222</v>
      </c>
      <c r="L13" s="12" t="n">
        <v>1</v>
      </c>
      <c r="M13" s="12" t="n">
        <v>562</v>
      </c>
      <c r="N13" s="12" t="n">
        <v>134</v>
      </c>
      <c r="O13" s="12" t="n">
        <v>127</v>
      </c>
      <c r="P13" s="12" t="n">
        <v>91</v>
      </c>
      <c r="Q13" s="12" t="n">
        <v>114</v>
      </c>
      <c r="R13" s="12" t="n">
        <v>499</v>
      </c>
      <c r="S13" s="12" t="n">
        <v>-63</v>
      </c>
      <c r="T13" s="15" t="n">
        <v>-0.1121</v>
      </c>
      <c r="U13" s="12" t="n">
        <v>-44</v>
      </c>
      <c r="V13" s="12" t="n">
        <v>3</v>
      </c>
      <c r="W13" s="12" t="n">
        <v>-131</v>
      </c>
      <c r="X13" s="12" t="n">
        <v>113</v>
      </c>
    </row>
    <row r="14" ht="20" customHeight="1">
      <c r="A14" s="47" t="n">
        <v>13</v>
      </c>
      <c r="B14" s="3" t="inlineStr">
        <is>
          <t>Nangal Sohal</t>
        </is>
      </c>
      <c r="C14" s="3" t="inlineStr">
        <is>
          <t>ਨੰਗਲ ਸੋਹਲ</t>
        </is>
      </c>
      <c r="D14" s="7" t="inlineStr">
        <is>
          <t>AAP</t>
        </is>
      </c>
      <c r="E14" s="5" t="n">
        <v>35</v>
      </c>
      <c r="F14" s="7" t="inlineStr">
        <is>
          <t>AAP</t>
        </is>
      </c>
      <c r="G14" s="5" t="n">
        <v>40</v>
      </c>
      <c r="H14" s="32" t="inlineStr">
        <is>
          <t>Retained AAP</t>
        </is>
      </c>
      <c r="I14" s="5" t="n">
        <v>182</v>
      </c>
      <c r="J14" s="5" t="n">
        <v>253</v>
      </c>
      <c r="K14" s="5" t="n">
        <v>218</v>
      </c>
      <c r="L14" s="5" t="n">
        <v>5</v>
      </c>
      <c r="M14" s="5" t="n">
        <v>709</v>
      </c>
      <c r="N14" s="5" t="n">
        <v>149</v>
      </c>
      <c r="O14" s="5" t="n">
        <v>189</v>
      </c>
      <c r="P14" s="5" t="n">
        <v>142</v>
      </c>
      <c r="Q14" s="5" t="n">
        <v>48</v>
      </c>
      <c r="R14" s="5" t="n">
        <v>572</v>
      </c>
      <c r="S14" s="5" t="n">
        <v>-137</v>
      </c>
      <c r="T14" s="8" t="n">
        <v>-0.1932</v>
      </c>
      <c r="U14" s="5" t="n">
        <v>-33</v>
      </c>
      <c r="V14" s="5" t="n">
        <v>-64</v>
      </c>
      <c r="W14" s="5" t="n">
        <v>-76</v>
      </c>
      <c r="X14" s="5" t="n">
        <v>43</v>
      </c>
    </row>
    <row r="15" ht="20" customHeight="1">
      <c r="A15" s="44" t="n">
        <v>14</v>
      </c>
      <c r="B15" s="10" t="inlineStr">
        <is>
          <t>Dariya Musa</t>
        </is>
      </c>
      <c r="C15" s="10" t="inlineStr">
        <is>
          <t>ਦਰਿਆ ਮੂਸਾ</t>
        </is>
      </c>
      <c r="D15" s="14" t="inlineStr">
        <is>
          <t>AAP</t>
        </is>
      </c>
      <c r="E15" s="12" t="n">
        <v>152</v>
      </c>
      <c r="F15" s="14" t="inlineStr">
        <is>
          <t>AAP</t>
        </is>
      </c>
      <c r="G15" s="12" t="n">
        <v>200</v>
      </c>
      <c r="H15" s="32" t="inlineStr">
        <is>
          <t>Retained AAP</t>
        </is>
      </c>
      <c r="I15" s="12" t="n">
        <v>126</v>
      </c>
      <c r="J15" s="12" t="n">
        <v>278</v>
      </c>
      <c r="K15" s="12" t="n">
        <v>70</v>
      </c>
      <c r="L15" s="12" t="n">
        <v>0</v>
      </c>
      <c r="M15" s="12" t="n">
        <v>492</v>
      </c>
      <c r="N15" s="12" t="n">
        <v>63</v>
      </c>
      <c r="O15" s="12" t="n">
        <v>263</v>
      </c>
      <c r="P15" s="12" t="n">
        <v>57</v>
      </c>
      <c r="Q15" s="12" t="n">
        <v>14</v>
      </c>
      <c r="R15" s="12" t="n">
        <v>412</v>
      </c>
      <c r="S15" s="12" t="n">
        <v>-80</v>
      </c>
      <c r="T15" s="15" t="n">
        <v>-0.1626</v>
      </c>
      <c r="U15" s="12" t="n">
        <v>-63</v>
      </c>
      <c r="V15" s="12" t="n">
        <v>-15</v>
      </c>
      <c r="W15" s="12" t="n">
        <v>-13</v>
      </c>
      <c r="X15" s="12" t="n">
        <v>14</v>
      </c>
    </row>
    <row r="16" ht="20" customHeight="1">
      <c r="A16" s="47" t="n">
        <v>15</v>
      </c>
      <c r="B16" s="3" t="inlineStr">
        <is>
          <t>Katle</t>
        </is>
      </c>
      <c r="C16" s="3" t="inlineStr">
        <is>
          <t>ਕਤਲੇ</t>
        </is>
      </c>
      <c r="D16" s="7" t="inlineStr">
        <is>
          <t>INC</t>
        </is>
      </c>
      <c r="E16" s="5" t="n">
        <v>85</v>
      </c>
      <c r="F16" s="7" t="inlineStr">
        <is>
          <t>INC</t>
        </is>
      </c>
      <c r="G16" s="5" t="n">
        <v>111</v>
      </c>
      <c r="H16" s="32" t="inlineStr">
        <is>
          <t>Retained INC</t>
        </is>
      </c>
      <c r="I16" s="5" t="n">
        <v>213</v>
      </c>
      <c r="J16" s="5" t="n">
        <v>128</v>
      </c>
      <c r="K16" s="5" t="n">
        <v>93</v>
      </c>
      <c r="L16" s="5" t="n">
        <v>2</v>
      </c>
      <c r="M16" s="5" t="n">
        <v>558</v>
      </c>
      <c r="N16" s="5" t="n">
        <v>209</v>
      </c>
      <c r="O16" s="5" t="n">
        <v>86</v>
      </c>
      <c r="P16" s="5" t="n">
        <v>98</v>
      </c>
      <c r="Q16" s="5" t="n">
        <v>49</v>
      </c>
      <c r="R16" s="5" t="n">
        <v>466</v>
      </c>
      <c r="S16" s="5" t="n">
        <v>-92</v>
      </c>
      <c r="T16" s="8" t="n">
        <v>-0.1649</v>
      </c>
      <c r="U16" s="5" t="n">
        <v>-4</v>
      </c>
      <c r="V16" s="5" t="n">
        <v>-42</v>
      </c>
      <c r="W16" s="5" t="n">
        <v>5</v>
      </c>
      <c r="X16" s="5" t="n">
        <v>47</v>
      </c>
    </row>
    <row r="17" ht="20" customHeight="1">
      <c r="A17" s="44" t="n">
        <v>16</v>
      </c>
      <c r="B17" s="10" t="inlineStr">
        <is>
          <t>Ramdas (Ward 1)</t>
        </is>
      </c>
      <c r="C17" s="10" t="inlineStr">
        <is>
          <t>ਰਾਮਦਾਸ (ਵਾਰਡ 1)</t>
        </is>
      </c>
      <c r="D17" s="14" t="inlineStr">
        <is>
          <t>AAP</t>
        </is>
      </c>
      <c r="E17" s="12" t="n">
        <v>44</v>
      </c>
      <c r="F17" s="14" t="inlineStr">
        <is>
          <t>BJP</t>
        </is>
      </c>
      <c r="G17" s="12" t="n">
        <v>12</v>
      </c>
      <c r="H17" s="37" t="inlineStr">
        <is>
          <t>AAP → BJP</t>
        </is>
      </c>
      <c r="I17" s="12" t="n">
        <v>134</v>
      </c>
      <c r="J17" s="12" t="n">
        <v>289</v>
      </c>
      <c r="K17" s="12" t="n">
        <v>245</v>
      </c>
      <c r="L17" s="12" t="n">
        <v>7</v>
      </c>
      <c r="M17" s="12" t="n">
        <v>704</v>
      </c>
      <c r="N17" s="12" t="n">
        <v>135</v>
      </c>
      <c r="O17" s="12" t="n">
        <v>151</v>
      </c>
      <c r="P17" s="12" t="n">
        <v>129</v>
      </c>
      <c r="Q17" s="12" t="n">
        <v>163</v>
      </c>
      <c r="R17" s="12" t="n">
        <v>615</v>
      </c>
      <c r="S17" s="12" t="n">
        <v>-89</v>
      </c>
      <c r="T17" s="15" t="n">
        <v>-0.1264</v>
      </c>
      <c r="U17" s="12" t="n">
        <v>1</v>
      </c>
      <c r="V17" s="12" t="n">
        <v>-138</v>
      </c>
      <c r="W17" s="12" t="n">
        <v>-116</v>
      </c>
      <c r="X17" s="12" t="n">
        <v>156</v>
      </c>
    </row>
    <row r="18" ht="20" customHeight="1">
      <c r="A18" s="47" t="n">
        <v>17</v>
      </c>
      <c r="B18" s="3" t="inlineStr">
        <is>
          <t>Ramdas (Ward 2)</t>
        </is>
      </c>
      <c r="C18" s="3" t="inlineStr">
        <is>
          <t>ਰਾਮਦਾਸ (ਵਾਰਡ 2)</t>
        </is>
      </c>
      <c r="D18" s="7" t="inlineStr">
        <is>
          <t>AAP</t>
        </is>
      </c>
      <c r="E18" s="5" t="n">
        <v>5</v>
      </c>
      <c r="F18" s="7" t="inlineStr">
        <is>
          <t>AAP</t>
        </is>
      </c>
      <c r="G18" s="5" t="n">
        <v>43</v>
      </c>
      <c r="H18" s="32" t="inlineStr">
        <is>
          <t>Retained AAP</t>
        </is>
      </c>
      <c r="I18" s="5" t="n">
        <v>208</v>
      </c>
      <c r="J18" s="5" t="n">
        <v>283</v>
      </c>
      <c r="K18" s="5" t="n">
        <v>278</v>
      </c>
      <c r="L18" s="5" t="n">
        <v>9</v>
      </c>
      <c r="M18" s="5" t="n">
        <v>819</v>
      </c>
      <c r="N18" s="5" t="n">
        <v>163</v>
      </c>
      <c r="O18" s="5" t="n">
        <v>206</v>
      </c>
      <c r="P18" s="5" t="n">
        <v>111</v>
      </c>
      <c r="Q18" s="5" t="n">
        <v>152</v>
      </c>
      <c r="R18" s="5" t="n">
        <v>670</v>
      </c>
      <c r="S18" s="5" t="n">
        <v>-149</v>
      </c>
      <c r="T18" s="8" t="n">
        <v>-0.1819</v>
      </c>
      <c r="U18" s="5" t="n">
        <v>-45</v>
      </c>
      <c r="V18" s="5" t="n">
        <v>-77</v>
      </c>
      <c r="W18" s="5" t="n">
        <v>-167</v>
      </c>
      <c r="X18" s="5" t="n">
        <v>143</v>
      </c>
    </row>
    <row r="19" ht="20" customHeight="1">
      <c r="A19" s="44" t="n">
        <v>18</v>
      </c>
      <c r="B19" s="10" t="inlineStr">
        <is>
          <t>Ramdas (Ward 3)</t>
        </is>
      </c>
      <c r="C19" s="10" t="inlineStr">
        <is>
          <t>ਰਾਮਦਾਸ (ਵਾਰਡ 3)</t>
        </is>
      </c>
      <c r="D19" s="14" t="inlineStr">
        <is>
          <t>AAP</t>
        </is>
      </c>
      <c r="E19" s="12" t="n">
        <v>6</v>
      </c>
      <c r="F19" s="14" t="inlineStr">
        <is>
          <t>AAP</t>
        </is>
      </c>
      <c r="G19" s="12" t="n">
        <v>59</v>
      </c>
      <c r="H19" s="32" t="inlineStr">
        <is>
          <t>Retained AAP</t>
        </is>
      </c>
      <c r="I19" s="12" t="n">
        <v>158</v>
      </c>
      <c r="J19" s="12" t="n">
        <v>294</v>
      </c>
      <c r="K19" s="12" t="n">
        <v>288</v>
      </c>
      <c r="L19" s="12" t="n">
        <v>4</v>
      </c>
      <c r="M19" s="12" t="n">
        <v>773</v>
      </c>
      <c r="N19" s="12" t="n">
        <v>157</v>
      </c>
      <c r="O19" s="12" t="n">
        <v>223</v>
      </c>
      <c r="P19" s="12" t="n">
        <v>164</v>
      </c>
      <c r="Q19" s="12" t="n">
        <v>85</v>
      </c>
      <c r="R19" s="12" t="n">
        <v>685</v>
      </c>
      <c r="S19" s="12" t="n">
        <v>-88</v>
      </c>
      <c r="T19" s="15" t="n">
        <v>-0.1138</v>
      </c>
      <c r="U19" s="12" t="n">
        <v>-1</v>
      </c>
      <c r="V19" s="12" t="n">
        <v>-71</v>
      </c>
      <c r="W19" s="12" t="n">
        <v>-124</v>
      </c>
      <c r="X19" s="12" t="n">
        <v>81</v>
      </c>
    </row>
    <row r="20" ht="20" customHeight="1">
      <c r="A20" s="47" t="n">
        <v>19</v>
      </c>
      <c r="B20" s="3" t="inlineStr">
        <is>
          <t>Ramdas (Ward 4)</t>
        </is>
      </c>
      <c r="C20" s="3" t="inlineStr">
        <is>
          <t>ਰਾਮਦਾਸ (ਵਾਰਡ 4)</t>
        </is>
      </c>
      <c r="D20" s="7" t="inlineStr">
        <is>
          <t>AAP</t>
        </is>
      </c>
      <c r="E20" s="5" t="n">
        <v>65</v>
      </c>
      <c r="F20" s="7" t="inlineStr">
        <is>
          <t>INC</t>
        </is>
      </c>
      <c r="G20" s="5" t="n">
        <v>12</v>
      </c>
      <c r="H20" s="37" t="inlineStr">
        <is>
          <t>AAP → INC</t>
        </is>
      </c>
      <c r="I20" s="5" t="n">
        <v>154</v>
      </c>
      <c r="J20" s="5" t="n">
        <v>346</v>
      </c>
      <c r="K20" s="5" t="n">
        <v>281</v>
      </c>
      <c r="L20" s="5" t="n">
        <v>1</v>
      </c>
      <c r="M20" s="5" t="n">
        <v>803</v>
      </c>
      <c r="N20" s="5" t="n">
        <v>193</v>
      </c>
      <c r="O20" s="5" t="n">
        <v>118</v>
      </c>
      <c r="P20" s="5" t="n">
        <v>123</v>
      </c>
      <c r="Q20" s="5" t="n">
        <v>181</v>
      </c>
      <c r="R20" s="5" t="n">
        <v>647</v>
      </c>
      <c r="S20" s="5" t="n">
        <v>-156</v>
      </c>
      <c r="T20" s="8" t="n">
        <v>-0.1943</v>
      </c>
      <c r="U20" s="5" t="n">
        <v>39</v>
      </c>
      <c r="V20" s="5" t="n">
        <v>-228</v>
      </c>
      <c r="W20" s="5" t="n">
        <v>-158</v>
      </c>
      <c r="X20" s="5" t="n">
        <v>180</v>
      </c>
    </row>
    <row r="21" ht="20" customHeight="1">
      <c r="A21" s="44" t="n">
        <v>20</v>
      </c>
      <c r="B21" s="10" t="inlineStr">
        <is>
          <t>Ramdas (Bauli)</t>
        </is>
      </c>
      <c r="C21" s="10" t="inlineStr">
        <is>
          <t>ਰਾਮਦਾਸ (ਬਾਉਲੀ)</t>
        </is>
      </c>
      <c r="D21" s="14" t="inlineStr">
        <is>
          <t>INC</t>
        </is>
      </c>
      <c r="E21" s="12" t="n">
        <v>13</v>
      </c>
      <c r="F21" s="14" t="inlineStr">
        <is>
          <t>AAP</t>
        </is>
      </c>
      <c r="G21" s="12" t="n">
        <v>15</v>
      </c>
      <c r="H21" s="37" t="inlineStr">
        <is>
          <t>INC → AAP</t>
        </is>
      </c>
      <c r="I21" s="12" t="n">
        <v>198</v>
      </c>
      <c r="J21" s="12" t="n">
        <v>79</v>
      </c>
      <c r="K21" s="12" t="n">
        <v>185</v>
      </c>
      <c r="L21" s="12" t="n">
        <v>1</v>
      </c>
      <c r="M21" s="12" t="n">
        <v>508</v>
      </c>
      <c r="N21" s="12" t="n">
        <v>131</v>
      </c>
      <c r="O21" s="12" t="n">
        <v>146</v>
      </c>
      <c r="P21" s="12" t="n">
        <v>128</v>
      </c>
      <c r="Q21" s="12" t="n">
        <v>14</v>
      </c>
      <c r="R21" s="12" t="n">
        <v>448</v>
      </c>
      <c r="S21" s="12" t="n">
        <v>-60</v>
      </c>
      <c r="T21" s="15" t="n">
        <v>-0.1181</v>
      </c>
      <c r="U21" s="12" t="n">
        <v>-67</v>
      </c>
      <c r="V21" s="12" t="n">
        <v>67</v>
      </c>
      <c r="W21" s="12" t="n">
        <v>-57</v>
      </c>
      <c r="X21" s="12" t="n">
        <v>13</v>
      </c>
    </row>
    <row r="22" ht="20" customHeight="1">
      <c r="A22" s="47" t="n">
        <v>21</v>
      </c>
      <c r="B22" s="3" t="inlineStr">
        <is>
          <t>Araya</t>
        </is>
      </c>
      <c r="C22" s="3" t="inlineStr">
        <is>
          <t>ਅਰਾਇਆਂ</t>
        </is>
      </c>
      <c r="D22" s="7" t="inlineStr">
        <is>
          <t>INC</t>
        </is>
      </c>
      <c r="E22" s="5" t="n">
        <v>14</v>
      </c>
      <c r="F22" s="7" t="inlineStr">
        <is>
          <t>INC</t>
        </is>
      </c>
      <c r="G22" s="5" t="n">
        <v>2</v>
      </c>
      <c r="H22" s="32" t="inlineStr">
        <is>
          <t>Retained INC</t>
        </is>
      </c>
      <c r="I22" s="5" t="n">
        <v>138</v>
      </c>
      <c r="J22" s="5" t="n">
        <v>124</v>
      </c>
      <c r="K22" s="5" t="n">
        <v>46</v>
      </c>
      <c r="L22" s="5" t="n">
        <v>2</v>
      </c>
      <c r="M22" s="5" t="n">
        <v>341</v>
      </c>
      <c r="N22" s="5" t="n">
        <v>122</v>
      </c>
      <c r="O22" s="5" t="n">
        <v>120</v>
      </c>
      <c r="P22" s="5" t="n">
        <v>67</v>
      </c>
      <c r="Q22" s="5" t="n">
        <v>6</v>
      </c>
      <c r="R22" s="5" t="n">
        <v>329</v>
      </c>
      <c r="S22" s="5" t="n">
        <v>-12</v>
      </c>
      <c r="T22" s="8" t="n">
        <v>-0.0352</v>
      </c>
      <c r="U22" s="5" t="n">
        <v>-16</v>
      </c>
      <c r="V22" s="5" t="n">
        <v>-4</v>
      </c>
      <c r="W22" s="5" t="n">
        <v>21</v>
      </c>
      <c r="X22" s="5" t="n">
        <v>4</v>
      </c>
    </row>
    <row r="23" ht="20" customHeight="1">
      <c r="A23" s="44" t="n">
        <v>22</v>
      </c>
      <c r="B23" s="10" t="inlineStr">
        <is>
          <t>Awaan (Near Ramdas)</t>
        </is>
      </c>
      <c r="C23" s="10" t="inlineStr">
        <is>
          <t>ਅਵਾਨ (ਨੇੜੇ ਰਾਮਦਾਸ)</t>
        </is>
      </c>
      <c r="D23" s="14" t="inlineStr">
        <is>
          <t>AAP</t>
        </is>
      </c>
      <c r="E23" s="12" t="n">
        <v>213</v>
      </c>
      <c r="F23" s="14" t="inlineStr">
        <is>
          <t>AAP</t>
        </is>
      </c>
      <c r="G23" s="12" t="n">
        <v>128</v>
      </c>
      <c r="H23" s="32" t="inlineStr">
        <is>
          <t>Retained AAP</t>
        </is>
      </c>
      <c r="I23" s="12" t="n">
        <v>116</v>
      </c>
      <c r="J23" s="12" t="n">
        <v>406</v>
      </c>
      <c r="K23" s="12" t="n">
        <v>193</v>
      </c>
      <c r="L23" s="12" t="n">
        <v>2</v>
      </c>
      <c r="M23" s="12" t="n">
        <v>935</v>
      </c>
      <c r="N23" s="12" t="n">
        <v>110</v>
      </c>
      <c r="O23" s="12" t="n">
        <v>327</v>
      </c>
      <c r="P23" s="12" t="n">
        <v>199</v>
      </c>
      <c r="Q23" s="12" t="n">
        <v>34</v>
      </c>
      <c r="R23" s="12" t="n">
        <v>755</v>
      </c>
      <c r="S23" s="12" t="n">
        <v>-180</v>
      </c>
      <c r="T23" s="15" t="n">
        <v>-0.1925</v>
      </c>
      <c r="U23" s="12" t="n">
        <v>-6</v>
      </c>
      <c r="V23" s="12" t="n">
        <v>-79</v>
      </c>
      <c r="W23" s="12" t="n">
        <v>6</v>
      </c>
      <c r="X23" s="12" t="n">
        <v>32</v>
      </c>
    </row>
    <row r="24" ht="20" customHeight="1">
      <c r="A24" s="47" t="n">
        <v>23</v>
      </c>
      <c r="B24" s="3" t="inlineStr">
        <is>
          <t>Awaan (Near Ramdas)</t>
        </is>
      </c>
      <c r="C24" s="3" t="inlineStr">
        <is>
          <t>ਅਵਾਨ (ਨੇੜੇ ਰਾਮਦਾਸ)</t>
        </is>
      </c>
      <c r="D24" s="7" t="inlineStr">
        <is>
          <t>AAP</t>
        </is>
      </c>
      <c r="E24" s="5" t="n">
        <v>36</v>
      </c>
      <c r="F24" s="7" t="inlineStr">
        <is>
          <t>AAP</t>
        </is>
      </c>
      <c r="G24" s="5" t="n">
        <v>157</v>
      </c>
      <c r="H24" s="32" t="inlineStr">
        <is>
          <t>Retained AAP</t>
        </is>
      </c>
      <c r="I24" s="5" t="n">
        <v>173</v>
      </c>
      <c r="J24" s="5" t="n">
        <v>209</v>
      </c>
      <c r="K24" s="5" t="n">
        <v>161</v>
      </c>
      <c r="L24" s="5" t="n">
        <v>3</v>
      </c>
      <c r="M24" s="5" t="n">
        <v>768</v>
      </c>
      <c r="N24" s="5" t="n">
        <v>106</v>
      </c>
      <c r="O24" s="5" t="n">
        <v>263</v>
      </c>
      <c r="P24" s="5" t="n">
        <v>102</v>
      </c>
      <c r="Q24" s="5" t="n">
        <v>77</v>
      </c>
      <c r="R24" s="5" t="n">
        <v>616</v>
      </c>
      <c r="S24" s="5" t="n">
        <v>-152</v>
      </c>
      <c r="T24" s="8" t="n">
        <v>-0.1979</v>
      </c>
      <c r="U24" s="5" t="n">
        <v>-67</v>
      </c>
      <c r="V24" s="5" t="n">
        <v>54</v>
      </c>
      <c r="W24" s="5" t="n">
        <v>-59</v>
      </c>
      <c r="X24" s="5" t="n">
        <v>74</v>
      </c>
    </row>
    <row r="25" ht="20" customHeight="1">
      <c r="A25" s="44" t="n">
        <v>24</v>
      </c>
      <c r="B25" s="10" t="inlineStr">
        <is>
          <t>Pairewal</t>
        </is>
      </c>
      <c r="C25" s="10" t="inlineStr">
        <is>
          <t>ਪੈਰੇਵਾਲ</t>
        </is>
      </c>
      <c r="D25" s="14" t="inlineStr">
        <is>
          <t>INC</t>
        </is>
      </c>
      <c r="E25" s="12" t="n">
        <v>25</v>
      </c>
      <c r="F25" s="14" t="inlineStr">
        <is>
          <t>AAP</t>
        </is>
      </c>
      <c r="G25" s="12" t="n">
        <v>226</v>
      </c>
      <c r="H25" s="37" t="inlineStr">
        <is>
          <t>INC → AAP</t>
        </is>
      </c>
      <c r="I25" s="12" t="n">
        <v>194</v>
      </c>
      <c r="J25" s="12" t="n">
        <v>169</v>
      </c>
      <c r="K25" s="12" t="n">
        <v>151</v>
      </c>
      <c r="L25" s="12" t="n">
        <v>1</v>
      </c>
      <c r="M25" s="12" t="n">
        <v>524</v>
      </c>
      <c r="N25" s="12" t="n">
        <v>41</v>
      </c>
      <c r="O25" s="12" t="n">
        <v>288</v>
      </c>
      <c r="P25" s="12" t="n">
        <v>62</v>
      </c>
      <c r="Q25" s="12" t="n">
        <v>38</v>
      </c>
      <c r="R25" s="12" t="n">
        <v>472</v>
      </c>
      <c r="S25" s="12" t="n">
        <v>-52</v>
      </c>
      <c r="T25" s="15" t="n">
        <v>-0.0992</v>
      </c>
      <c r="U25" s="12" t="n">
        <v>-153</v>
      </c>
      <c r="V25" s="12" t="n">
        <v>119</v>
      </c>
      <c r="W25" s="12" t="n">
        <v>-89</v>
      </c>
      <c r="X25" s="12" t="n">
        <v>37</v>
      </c>
    </row>
    <row r="26" ht="20" customHeight="1">
      <c r="A26" s="47" t="n">
        <v>25</v>
      </c>
      <c r="B26" s="3" t="inlineStr">
        <is>
          <t>Lakhuwal</t>
        </is>
      </c>
      <c r="C26" s="3" t="inlineStr">
        <is>
          <t>ਲਖੂਵਾਲ</t>
        </is>
      </c>
      <c r="D26" s="7" t="inlineStr">
        <is>
          <t>AAP</t>
        </is>
      </c>
      <c r="E26" s="5" t="n">
        <v>16</v>
      </c>
      <c r="F26" s="7" t="inlineStr">
        <is>
          <t>AAP</t>
        </is>
      </c>
      <c r="G26" s="5" t="n">
        <v>144</v>
      </c>
      <c r="H26" s="32" t="inlineStr">
        <is>
          <t>Retained AAP</t>
        </is>
      </c>
      <c r="I26" s="5" t="n">
        <v>50</v>
      </c>
      <c r="J26" s="5" t="n">
        <v>152</v>
      </c>
      <c r="K26" s="5" t="n">
        <v>136</v>
      </c>
      <c r="L26" s="5" t="n">
        <v>0</v>
      </c>
      <c r="M26" s="5" t="n">
        <v>379</v>
      </c>
      <c r="N26" s="5" t="n">
        <v>63</v>
      </c>
      <c r="O26" s="5" t="n">
        <v>207</v>
      </c>
      <c r="P26" s="5" t="n">
        <v>58</v>
      </c>
      <c r="Q26" s="5" t="n">
        <v>3</v>
      </c>
      <c r="R26" s="5" t="n">
        <v>367</v>
      </c>
      <c r="S26" s="5" t="n">
        <v>-12</v>
      </c>
      <c r="T26" s="8" t="n">
        <v>-0.0317</v>
      </c>
      <c r="U26" s="5" t="n">
        <v>13</v>
      </c>
      <c r="V26" s="5" t="n">
        <v>55</v>
      </c>
      <c r="W26" s="5" t="n">
        <v>-78</v>
      </c>
      <c r="X26" s="5" t="n">
        <v>3</v>
      </c>
    </row>
    <row r="27" ht="20" customHeight="1">
      <c r="A27" s="44" t="n">
        <v>26</v>
      </c>
      <c r="B27" s="10" t="inlineStr">
        <is>
          <t>Malakpur</t>
        </is>
      </c>
      <c r="C27" s="10" t="inlineStr">
        <is>
          <t>ਮਲਕਪੁਰ</t>
        </is>
      </c>
      <c r="D27" s="14" t="inlineStr">
        <is>
          <t>AAP</t>
        </is>
      </c>
      <c r="E27" s="12" t="n">
        <v>182</v>
      </c>
      <c r="F27" s="14" t="inlineStr">
        <is>
          <t>AAP</t>
        </is>
      </c>
      <c r="G27" s="12" t="n">
        <v>52</v>
      </c>
      <c r="H27" s="32" t="inlineStr">
        <is>
          <t>Retained AAP</t>
        </is>
      </c>
      <c r="I27" s="12" t="n">
        <v>186</v>
      </c>
      <c r="J27" s="12" t="n">
        <v>368</v>
      </c>
      <c r="K27" s="12" t="n">
        <v>122</v>
      </c>
      <c r="L27" s="12" t="n">
        <v>1</v>
      </c>
      <c r="M27" s="12" t="n">
        <v>778</v>
      </c>
      <c r="N27" s="12" t="n">
        <v>150</v>
      </c>
      <c r="O27" s="12" t="n">
        <v>202</v>
      </c>
      <c r="P27" s="12" t="n">
        <v>128</v>
      </c>
      <c r="Q27" s="12" t="n">
        <v>52</v>
      </c>
      <c r="R27" s="12" t="n">
        <v>615</v>
      </c>
      <c r="S27" s="12" t="n">
        <v>-163</v>
      </c>
      <c r="T27" s="15" t="n">
        <v>-0.2095</v>
      </c>
      <c r="U27" s="12" t="n">
        <v>-36</v>
      </c>
      <c r="V27" s="12" t="n">
        <v>-166</v>
      </c>
      <c r="W27" s="12" t="n">
        <v>6</v>
      </c>
      <c r="X27" s="12" t="n">
        <v>51</v>
      </c>
    </row>
    <row r="28" ht="20" customHeight="1">
      <c r="A28" s="47" t="n">
        <v>27</v>
      </c>
      <c r="B28" s="3" t="inlineStr">
        <is>
          <t>Thoba</t>
        </is>
      </c>
      <c r="C28" s="3" t="inlineStr">
        <is>
          <t>ਥੋਬਾ</t>
        </is>
      </c>
      <c r="D28" s="7" t="inlineStr">
        <is>
          <t>INC</t>
        </is>
      </c>
      <c r="E28" s="5" t="n">
        <v>27</v>
      </c>
      <c r="F28" s="7" t="inlineStr">
        <is>
          <t>BJP</t>
        </is>
      </c>
      <c r="G28" s="5" t="n">
        <v>32</v>
      </c>
      <c r="H28" s="37" t="inlineStr">
        <is>
          <t>INC → BJP</t>
        </is>
      </c>
      <c r="I28" s="5" t="n">
        <v>212</v>
      </c>
      <c r="J28" s="5" t="n">
        <v>185</v>
      </c>
      <c r="K28" s="5" t="n">
        <v>161</v>
      </c>
      <c r="L28" s="5" t="n">
        <v>2</v>
      </c>
      <c r="M28" s="5" t="n">
        <v>683</v>
      </c>
      <c r="N28" s="5" t="n">
        <v>102</v>
      </c>
      <c r="O28" s="5" t="n">
        <v>120</v>
      </c>
      <c r="P28" s="5" t="n">
        <v>122</v>
      </c>
      <c r="Q28" s="5" t="n">
        <v>154</v>
      </c>
      <c r="R28" s="5" t="n">
        <v>586</v>
      </c>
      <c r="S28" s="5" t="n">
        <v>-97</v>
      </c>
      <c r="T28" s="8" t="n">
        <v>-0.142</v>
      </c>
      <c r="U28" s="5" t="n">
        <v>-110</v>
      </c>
      <c r="V28" s="5" t="n">
        <v>-65</v>
      </c>
      <c r="W28" s="5" t="n">
        <v>-39</v>
      </c>
      <c r="X28" s="5" t="n">
        <v>152</v>
      </c>
    </row>
    <row r="29" ht="20" customHeight="1">
      <c r="A29" s="44" t="n">
        <v>28</v>
      </c>
      <c r="B29" s="10" t="inlineStr">
        <is>
          <t>Thoba</t>
        </is>
      </c>
      <c r="C29" s="10" t="inlineStr">
        <is>
          <t>ਥੋਬਾ</t>
        </is>
      </c>
      <c r="D29" s="14" t="inlineStr">
        <is>
          <t>AAP</t>
        </is>
      </c>
      <c r="E29" s="12" t="n">
        <v>166</v>
      </c>
      <c r="F29" s="14" t="inlineStr">
        <is>
          <t>AAP</t>
        </is>
      </c>
      <c r="G29" s="12" t="n">
        <v>111</v>
      </c>
      <c r="H29" s="32" t="inlineStr">
        <is>
          <t>Retained AAP</t>
        </is>
      </c>
      <c r="I29" s="12" t="n">
        <v>146</v>
      </c>
      <c r="J29" s="12" t="n">
        <v>361</v>
      </c>
      <c r="K29" s="12" t="n">
        <v>195</v>
      </c>
      <c r="L29" s="12" t="n">
        <v>1</v>
      </c>
      <c r="M29" s="12" t="n">
        <v>784</v>
      </c>
      <c r="N29" s="12" t="n">
        <v>115</v>
      </c>
      <c r="O29" s="12" t="n">
        <v>226</v>
      </c>
      <c r="P29" s="12" t="n">
        <v>105</v>
      </c>
      <c r="Q29" s="12" t="n">
        <v>80</v>
      </c>
      <c r="R29" s="12" t="n">
        <v>641</v>
      </c>
      <c r="S29" s="12" t="n">
        <v>-143</v>
      </c>
      <c r="T29" s="15" t="n">
        <v>-0.1824</v>
      </c>
      <c r="U29" s="12" t="n">
        <v>-31</v>
      </c>
      <c r="V29" s="12" t="n">
        <v>-135</v>
      </c>
      <c r="W29" s="12" t="n">
        <v>-90</v>
      </c>
      <c r="X29" s="12" t="n">
        <v>79</v>
      </c>
    </row>
    <row r="30" ht="20" customHeight="1">
      <c r="A30" s="47" t="n">
        <v>29</v>
      </c>
      <c r="B30" s="3" t="inlineStr">
        <is>
          <t>Dujo Wal</t>
        </is>
      </c>
      <c r="C30" s="3" t="inlineStr">
        <is>
          <t>ਦੁਜੋਵਾਲ</t>
        </is>
      </c>
      <c r="D30" s="7" t="inlineStr">
        <is>
          <t>SAD</t>
        </is>
      </c>
      <c r="E30" s="5" t="n">
        <v>24</v>
      </c>
      <c r="F30" s="7" t="inlineStr">
        <is>
          <t>INC</t>
        </is>
      </c>
      <c r="G30" s="5" t="n">
        <v>54</v>
      </c>
      <c r="H30" s="37" t="inlineStr">
        <is>
          <t>SAD → INC</t>
        </is>
      </c>
      <c r="I30" s="5" t="n">
        <v>191</v>
      </c>
      <c r="J30" s="5" t="n">
        <v>217</v>
      </c>
      <c r="K30" s="5" t="n">
        <v>241</v>
      </c>
      <c r="L30" s="5" t="n">
        <v>4</v>
      </c>
      <c r="M30" s="5" t="n">
        <v>838</v>
      </c>
      <c r="N30" s="5" t="n">
        <v>249</v>
      </c>
      <c r="O30" s="5" t="n">
        <v>195</v>
      </c>
      <c r="P30" s="5" t="n">
        <v>135</v>
      </c>
      <c r="Q30" s="5" t="n">
        <v>77</v>
      </c>
      <c r="R30" s="5" t="n">
        <v>803</v>
      </c>
      <c r="S30" s="5" t="n">
        <v>-35</v>
      </c>
      <c r="T30" s="8" t="n">
        <v>-0.0418</v>
      </c>
      <c r="U30" s="5" t="n">
        <v>58</v>
      </c>
      <c r="V30" s="5" t="n">
        <v>-22</v>
      </c>
      <c r="W30" s="5" t="n">
        <v>-106</v>
      </c>
      <c r="X30" s="5" t="n">
        <v>73</v>
      </c>
    </row>
    <row r="31" ht="20" customHeight="1">
      <c r="A31" s="44" t="n">
        <v>30</v>
      </c>
      <c r="B31" s="10" t="inlineStr">
        <is>
          <t>Duharia</t>
        </is>
      </c>
      <c r="C31" s="10" t="inlineStr">
        <is>
          <t>ਦੁਹਾਰੀਆ</t>
        </is>
      </c>
      <c r="D31" s="14" t="inlineStr">
        <is>
          <t>AAP</t>
        </is>
      </c>
      <c r="E31" s="12" t="n">
        <v>44</v>
      </c>
      <c r="F31" s="14" t="inlineStr">
        <is>
          <t>INC</t>
        </is>
      </c>
      <c r="G31" s="12" t="n">
        <v>32</v>
      </c>
      <c r="H31" s="37" t="inlineStr">
        <is>
          <t>AAP → INC</t>
        </is>
      </c>
      <c r="I31" s="12" t="n">
        <v>174</v>
      </c>
      <c r="J31" s="12" t="n">
        <v>218</v>
      </c>
      <c r="K31" s="12" t="n">
        <v>93</v>
      </c>
      <c r="L31" s="12" t="n">
        <v>1</v>
      </c>
      <c r="M31" s="12" t="n">
        <v>517</v>
      </c>
      <c r="N31" s="12" t="n">
        <v>190</v>
      </c>
      <c r="O31" s="12" t="n">
        <v>158</v>
      </c>
      <c r="P31" s="12" t="n">
        <v>25</v>
      </c>
      <c r="Q31" s="12" t="n">
        <v>26</v>
      </c>
      <c r="R31" s="12" t="n">
        <v>463</v>
      </c>
      <c r="S31" s="12" t="n">
        <v>-54</v>
      </c>
      <c r="T31" s="15" t="n">
        <v>-0.1044</v>
      </c>
      <c r="U31" s="12" t="n">
        <v>16</v>
      </c>
      <c r="V31" s="12" t="n">
        <v>-60</v>
      </c>
      <c r="W31" s="12" t="n">
        <v>-68</v>
      </c>
      <c r="X31" s="12" t="n">
        <v>25</v>
      </c>
    </row>
    <row r="32" ht="20" customHeight="1">
      <c r="A32" s="47" t="n">
        <v>31</v>
      </c>
      <c r="B32" s="3" t="inlineStr">
        <is>
          <t>Kallo Mahal</t>
        </is>
      </c>
      <c r="C32" s="3" t="inlineStr">
        <is>
          <t>ਕੱਲੋ ਮਾਹਲ</t>
        </is>
      </c>
      <c r="D32" s="7" t="inlineStr">
        <is>
          <t>SAD</t>
        </is>
      </c>
      <c r="E32" s="5" t="n">
        <v>1</v>
      </c>
      <c r="F32" s="7" t="inlineStr">
        <is>
          <t>INC</t>
        </is>
      </c>
      <c r="G32" s="5" t="n">
        <v>55</v>
      </c>
      <c r="H32" s="37" t="inlineStr">
        <is>
          <t>SAD → INC</t>
        </is>
      </c>
      <c r="I32" s="5" t="n">
        <v>146</v>
      </c>
      <c r="J32" s="5" t="n">
        <v>47</v>
      </c>
      <c r="K32" s="5" t="n">
        <v>147</v>
      </c>
      <c r="L32" s="5" t="n">
        <v>4</v>
      </c>
      <c r="M32" s="5" t="n">
        <v>361</v>
      </c>
      <c r="N32" s="5" t="n">
        <v>116</v>
      </c>
      <c r="O32" s="5" t="n">
        <v>61</v>
      </c>
      <c r="P32" s="5" t="n">
        <v>41</v>
      </c>
      <c r="Q32" s="5" t="n">
        <v>18</v>
      </c>
      <c r="R32" s="5" t="n">
        <v>309</v>
      </c>
      <c r="S32" s="5" t="n">
        <v>-52</v>
      </c>
      <c r="T32" s="8" t="n">
        <v>-0.144</v>
      </c>
      <c r="U32" s="5" t="n">
        <v>-30</v>
      </c>
      <c r="V32" s="5" t="n">
        <v>14</v>
      </c>
      <c r="W32" s="5" t="n">
        <v>-106</v>
      </c>
      <c r="X32" s="5" t="n">
        <v>14</v>
      </c>
    </row>
    <row r="33" ht="20" customHeight="1">
      <c r="A33" s="44" t="n">
        <v>32</v>
      </c>
      <c r="B33" s="10" t="inlineStr">
        <is>
          <t>Sultan Mahal</t>
        </is>
      </c>
      <c r="C33" s="10" t="inlineStr">
        <is>
          <t>ਸੁਲਤਾਨ ਮਾਹਲ</t>
        </is>
      </c>
      <c r="D33" s="14" t="inlineStr">
        <is>
          <t>AAP</t>
        </is>
      </c>
      <c r="E33" s="12" t="n">
        <v>63</v>
      </c>
      <c r="F33" s="14" t="inlineStr">
        <is>
          <t>AAP</t>
        </is>
      </c>
      <c r="G33" s="12" t="n">
        <v>34</v>
      </c>
      <c r="H33" s="32" t="inlineStr">
        <is>
          <t>Retained AAP</t>
        </is>
      </c>
      <c r="I33" s="12" t="n">
        <v>169</v>
      </c>
      <c r="J33" s="12" t="n">
        <v>232</v>
      </c>
      <c r="K33" s="12" t="n">
        <v>154</v>
      </c>
      <c r="L33" s="12" t="n">
        <v>3</v>
      </c>
      <c r="M33" s="12" t="n">
        <v>598</v>
      </c>
      <c r="N33" s="12" t="n">
        <v>156</v>
      </c>
      <c r="O33" s="12" t="n">
        <v>190</v>
      </c>
      <c r="P33" s="12" t="n">
        <v>44</v>
      </c>
      <c r="Q33" s="12" t="n">
        <v>64</v>
      </c>
      <c r="R33" s="12" t="n">
        <v>510</v>
      </c>
      <c r="S33" s="12" t="n">
        <v>-88</v>
      </c>
      <c r="T33" s="15" t="n">
        <v>-0.1472</v>
      </c>
      <c r="U33" s="12" t="n">
        <v>-13</v>
      </c>
      <c r="V33" s="12" t="n">
        <v>-42</v>
      </c>
      <c r="W33" s="12" t="n">
        <v>-110</v>
      </c>
      <c r="X33" s="12" t="n">
        <v>61</v>
      </c>
    </row>
    <row r="34" ht="20" customHeight="1">
      <c r="A34" s="47" t="n">
        <v>33</v>
      </c>
      <c r="B34" s="3" t="inlineStr">
        <is>
          <t>Suffian</t>
        </is>
      </c>
      <c r="C34" s="3" t="inlineStr">
        <is>
          <t>ਸੂਫ਼ੀਆਂ</t>
        </is>
      </c>
      <c r="D34" s="7" t="inlineStr">
        <is>
          <t>INC</t>
        </is>
      </c>
      <c r="E34" s="5" t="n">
        <v>66</v>
      </c>
      <c r="F34" s="7" t="inlineStr">
        <is>
          <t>AAP</t>
        </is>
      </c>
      <c r="G34" s="5" t="n">
        <v>2</v>
      </c>
      <c r="H34" s="37" t="inlineStr">
        <is>
          <t>INC → AAP</t>
        </is>
      </c>
      <c r="I34" s="5" t="n">
        <v>209</v>
      </c>
      <c r="J34" s="5" t="n">
        <v>143</v>
      </c>
      <c r="K34" s="5" t="n">
        <v>81</v>
      </c>
      <c r="L34" s="5" t="n">
        <v>1</v>
      </c>
      <c r="M34" s="5" t="n">
        <v>512</v>
      </c>
      <c r="N34" s="5" t="n">
        <v>163</v>
      </c>
      <c r="O34" s="5" t="n">
        <v>165</v>
      </c>
      <c r="P34" s="5" t="n">
        <v>149</v>
      </c>
      <c r="Q34" s="5" t="n">
        <v>14</v>
      </c>
      <c r="R34" s="5" t="n">
        <v>533</v>
      </c>
      <c r="S34" s="5" t="n">
        <v>21</v>
      </c>
      <c r="T34" s="8" t="n">
        <v>0.04099999999999999</v>
      </c>
      <c r="U34" s="5" t="n">
        <v>-46</v>
      </c>
      <c r="V34" s="5" t="n">
        <v>22</v>
      </c>
      <c r="W34" s="5" t="n">
        <v>68</v>
      </c>
      <c r="X34" s="5" t="n">
        <v>13</v>
      </c>
    </row>
    <row r="35" ht="20" customHeight="1">
      <c r="A35" s="44" t="n">
        <v>34</v>
      </c>
      <c r="B35" s="10" t="inlineStr">
        <is>
          <t>Kot Rajada</t>
        </is>
      </c>
      <c r="C35" s="10" t="inlineStr">
        <is>
          <t>ਕੋਟ ਰਜਾਦਾ</t>
        </is>
      </c>
      <c r="D35" s="14" t="inlineStr">
        <is>
          <t>SAD</t>
        </is>
      </c>
      <c r="E35" s="12" t="n">
        <v>5</v>
      </c>
      <c r="F35" s="14" t="inlineStr">
        <is>
          <t>AAP</t>
        </is>
      </c>
      <c r="G35" s="12" t="n">
        <v>64</v>
      </c>
      <c r="H35" s="37" t="inlineStr">
        <is>
          <t>SAD → AAP</t>
        </is>
      </c>
      <c r="I35" s="12" t="n">
        <v>228</v>
      </c>
      <c r="J35" s="12" t="n">
        <v>140</v>
      </c>
      <c r="K35" s="12" t="n">
        <v>233</v>
      </c>
      <c r="L35" s="12" t="n">
        <v>9</v>
      </c>
      <c r="M35" s="12" t="n">
        <v>699</v>
      </c>
      <c r="N35" s="12" t="n">
        <v>171</v>
      </c>
      <c r="O35" s="12" t="n">
        <v>235</v>
      </c>
      <c r="P35" s="12" t="n">
        <v>87</v>
      </c>
      <c r="Q35" s="12" t="n">
        <v>133</v>
      </c>
      <c r="R35" s="12" t="n">
        <v>684</v>
      </c>
      <c r="S35" s="12" t="n">
        <v>-15</v>
      </c>
      <c r="T35" s="15" t="n">
        <v>-0.0215</v>
      </c>
      <c r="U35" s="12" t="n">
        <v>-57</v>
      </c>
      <c r="V35" s="12" t="n">
        <v>95</v>
      </c>
      <c r="W35" s="12" t="n">
        <v>-146</v>
      </c>
      <c r="X35" s="12" t="n">
        <v>124</v>
      </c>
    </row>
    <row r="36" ht="20" customHeight="1">
      <c r="A36" s="47" t="n">
        <v>35</v>
      </c>
      <c r="B36" s="3" t="inlineStr">
        <is>
          <t>Chaharhpur</t>
        </is>
      </c>
      <c r="C36" s="3" t="inlineStr">
        <is>
          <t>ਚਾਹੜਪੁਰ</t>
        </is>
      </c>
      <c r="D36" s="7" t="inlineStr">
        <is>
          <t>AAP</t>
        </is>
      </c>
      <c r="E36" s="5" t="n">
        <v>1</v>
      </c>
      <c r="F36" s="7" t="inlineStr">
        <is>
          <t>AAP</t>
        </is>
      </c>
      <c r="G36" s="5" t="n">
        <v>139</v>
      </c>
      <c r="H36" s="32" t="inlineStr">
        <is>
          <t>Retained AAP</t>
        </is>
      </c>
      <c r="I36" s="5" t="n">
        <v>216</v>
      </c>
      <c r="J36" s="5" t="n">
        <v>217</v>
      </c>
      <c r="K36" s="5" t="n">
        <v>152</v>
      </c>
      <c r="L36" s="5" t="n">
        <v>10</v>
      </c>
      <c r="M36" s="5" t="n">
        <v>686</v>
      </c>
      <c r="N36" s="5" t="n">
        <v>216</v>
      </c>
      <c r="O36" s="5" t="n">
        <v>355</v>
      </c>
      <c r="P36" s="5" t="n">
        <v>33</v>
      </c>
      <c r="Q36" s="5" t="n">
        <v>27</v>
      </c>
      <c r="R36" s="5" t="n">
        <v>662</v>
      </c>
      <c r="S36" s="5" t="n">
        <v>-24</v>
      </c>
      <c r="T36" s="8" t="n">
        <v>-0.035</v>
      </c>
      <c r="U36" s="5" t="n">
        <v>0</v>
      </c>
      <c r="V36" s="5" t="n">
        <v>138</v>
      </c>
      <c r="W36" s="5" t="n">
        <v>-119</v>
      </c>
      <c r="X36" s="5" t="n">
        <v>17</v>
      </c>
    </row>
    <row r="37" ht="20" customHeight="1">
      <c r="A37" s="44" t="n">
        <v>36</v>
      </c>
      <c r="B37" s="10" t="inlineStr">
        <is>
          <t>Diyal Bhati</t>
        </is>
      </c>
      <c r="C37" s="10" t="inlineStr">
        <is>
          <t>ਦਿਆਲ ਭੱਟੀ</t>
        </is>
      </c>
      <c r="D37" s="14" t="inlineStr">
        <is>
          <t>INC</t>
        </is>
      </c>
      <c r="E37" s="12" t="n">
        <v>39</v>
      </c>
      <c r="F37" s="14" t="inlineStr">
        <is>
          <t>INC</t>
        </is>
      </c>
      <c r="G37" s="12" t="n">
        <v>212</v>
      </c>
      <c r="H37" s="32" t="inlineStr">
        <is>
          <t>Retained INC</t>
        </is>
      </c>
      <c r="I37" s="12" t="n">
        <v>292</v>
      </c>
      <c r="J37" s="12" t="n">
        <v>236</v>
      </c>
      <c r="K37" s="12" t="n">
        <v>253</v>
      </c>
      <c r="L37" s="12" t="n">
        <v>1</v>
      </c>
      <c r="M37" s="12" t="n">
        <v>923</v>
      </c>
      <c r="N37" s="12" t="n">
        <v>367</v>
      </c>
      <c r="O37" s="12" t="n">
        <v>155</v>
      </c>
      <c r="P37" s="12" t="n">
        <v>140</v>
      </c>
      <c r="Q37" s="12" t="n">
        <v>52</v>
      </c>
      <c r="R37" s="12" t="n">
        <v>766</v>
      </c>
      <c r="S37" s="12" t="n">
        <v>-157</v>
      </c>
      <c r="T37" s="15" t="n">
        <v>-0.1701</v>
      </c>
      <c r="U37" s="12" t="n">
        <v>75</v>
      </c>
      <c r="V37" s="12" t="n">
        <v>-81</v>
      </c>
      <c r="W37" s="12" t="n">
        <v>-113</v>
      </c>
      <c r="X37" s="12" t="n">
        <v>51</v>
      </c>
    </row>
    <row r="38" ht="20" customHeight="1">
      <c r="A38" s="47" t="n">
        <v>37</v>
      </c>
      <c r="B38" s="3" t="inlineStr">
        <is>
          <t>Dial Bhatti</t>
        </is>
      </c>
      <c r="C38" s="3" t="inlineStr">
        <is>
          <t>ਦਿਆਲ ਭੱਟੀ</t>
        </is>
      </c>
      <c r="D38" s="7" t="inlineStr">
        <is>
          <t>AAP</t>
        </is>
      </c>
      <c r="E38" s="5" t="n">
        <v>45</v>
      </c>
      <c r="F38" s="7" t="inlineStr">
        <is>
          <t>INC</t>
        </is>
      </c>
      <c r="G38" s="5" t="n">
        <v>16</v>
      </c>
      <c r="H38" s="37" t="inlineStr">
        <is>
          <t>AAP → INC</t>
        </is>
      </c>
      <c r="I38" s="5" t="n">
        <v>99</v>
      </c>
      <c r="J38" s="5" t="n">
        <v>154</v>
      </c>
      <c r="K38" s="5" t="n">
        <v>109</v>
      </c>
      <c r="L38" s="5" t="n">
        <v>0</v>
      </c>
      <c r="M38" s="5" t="n">
        <v>401</v>
      </c>
      <c r="N38" s="5" t="n">
        <v>127</v>
      </c>
      <c r="O38" s="5" t="n">
        <v>111</v>
      </c>
      <c r="P38" s="5" t="n">
        <v>45</v>
      </c>
      <c r="Q38" s="5" t="n">
        <v>9</v>
      </c>
      <c r="R38" s="5" t="n">
        <v>353</v>
      </c>
      <c r="S38" s="5" t="n">
        <v>-48</v>
      </c>
      <c r="T38" s="8" t="n">
        <v>-0.1197</v>
      </c>
      <c r="U38" s="5" t="n">
        <v>28</v>
      </c>
      <c r="V38" s="5" t="n">
        <v>-43</v>
      </c>
      <c r="W38" s="5" t="n">
        <v>-64</v>
      </c>
      <c r="X38" s="5" t="n">
        <v>9</v>
      </c>
    </row>
    <row r="39" ht="20" customHeight="1">
      <c r="A39" s="44" t="n">
        <v>38</v>
      </c>
      <c r="B39" s="10" t="inlineStr">
        <is>
          <t>Galib</t>
        </is>
      </c>
      <c r="C39" s="10" t="inlineStr">
        <is>
          <t>ਗ਼ਾਲਿਬ</t>
        </is>
      </c>
      <c r="D39" s="14" t="inlineStr">
        <is>
          <t>AAP</t>
        </is>
      </c>
      <c r="E39" s="12" t="n">
        <v>8</v>
      </c>
      <c r="F39" s="14" t="inlineStr">
        <is>
          <t>INC</t>
        </is>
      </c>
      <c r="G39" s="12" t="n">
        <v>95</v>
      </c>
      <c r="H39" s="37" t="inlineStr">
        <is>
          <t>AAP → INC</t>
        </is>
      </c>
      <c r="I39" s="12" t="n">
        <v>245</v>
      </c>
      <c r="J39" s="12" t="n">
        <v>253</v>
      </c>
      <c r="K39" s="12" t="n">
        <v>110</v>
      </c>
      <c r="L39" s="12" t="n">
        <v>5</v>
      </c>
      <c r="M39" s="12" t="n">
        <v>675</v>
      </c>
      <c r="N39" s="12" t="n">
        <v>216</v>
      </c>
      <c r="O39" s="12" t="n">
        <v>121</v>
      </c>
      <c r="P39" s="12" t="n">
        <v>90</v>
      </c>
      <c r="Q39" s="12" t="n">
        <v>63</v>
      </c>
      <c r="R39" s="12" t="n">
        <v>556</v>
      </c>
      <c r="S39" s="12" t="n">
        <v>-119</v>
      </c>
      <c r="T39" s="15" t="n">
        <v>-0.1763</v>
      </c>
      <c r="U39" s="12" t="n">
        <v>-29</v>
      </c>
      <c r="V39" s="12" t="n">
        <v>-132</v>
      </c>
      <c r="W39" s="12" t="n">
        <v>-20</v>
      </c>
      <c r="X39" s="12" t="n">
        <v>58</v>
      </c>
    </row>
    <row r="40" ht="20" customHeight="1">
      <c r="A40" s="47" t="n">
        <v>39</v>
      </c>
      <c r="B40" s="3" t="inlineStr">
        <is>
          <t>Bal Labbe Dariya</t>
        </is>
      </c>
      <c r="C40" s="3" t="inlineStr">
        <is>
          <t>ਬੱਲ ਲੱਭੇ ਦਰਿਆ</t>
        </is>
      </c>
      <c r="D40" s="7" t="inlineStr">
        <is>
          <t>AAP</t>
        </is>
      </c>
      <c r="E40" s="5" t="n">
        <v>14</v>
      </c>
      <c r="F40" s="7" t="inlineStr">
        <is>
          <t>AAP</t>
        </is>
      </c>
      <c r="G40" s="5" t="n">
        <v>11</v>
      </c>
      <c r="H40" s="32" t="inlineStr">
        <is>
          <t>Retained AAP</t>
        </is>
      </c>
      <c r="I40" s="5" t="n">
        <v>111</v>
      </c>
      <c r="J40" s="5" t="n">
        <v>192</v>
      </c>
      <c r="K40" s="5" t="n">
        <v>178</v>
      </c>
      <c r="L40" s="5" t="n">
        <v>0</v>
      </c>
      <c r="M40" s="5" t="n">
        <v>506</v>
      </c>
      <c r="N40" s="5" t="n">
        <v>171</v>
      </c>
      <c r="O40" s="5" t="n">
        <v>182</v>
      </c>
      <c r="P40" s="5" t="n">
        <v>106</v>
      </c>
      <c r="Q40" s="5" t="n">
        <v>9</v>
      </c>
      <c r="R40" s="5" t="n">
        <v>484</v>
      </c>
      <c r="S40" s="5" t="n">
        <v>-22</v>
      </c>
      <c r="T40" s="8" t="n">
        <v>-0.0435</v>
      </c>
      <c r="U40" s="5" t="n">
        <v>60</v>
      </c>
      <c r="V40" s="5" t="n">
        <v>-10</v>
      </c>
      <c r="W40" s="5" t="n">
        <v>-72</v>
      </c>
      <c r="X40" s="5" t="n">
        <v>9</v>
      </c>
    </row>
    <row r="41" ht="20" customHeight="1">
      <c r="A41" s="44" t="n">
        <v>40</v>
      </c>
      <c r="B41" s="10" t="inlineStr">
        <is>
          <t>Chakk Bala</t>
        </is>
      </c>
      <c r="C41" s="10" t="inlineStr">
        <is>
          <t>ਚੱਕ ਬਾਲਾ</t>
        </is>
      </c>
      <c r="D41" s="14" t="inlineStr">
        <is>
          <t>INC</t>
        </is>
      </c>
      <c r="E41" s="12" t="n">
        <v>37</v>
      </c>
      <c r="F41" s="14" t="inlineStr">
        <is>
          <t>INC</t>
        </is>
      </c>
      <c r="G41" s="12" t="n">
        <v>5</v>
      </c>
      <c r="H41" s="32" t="inlineStr">
        <is>
          <t>Retained INC</t>
        </is>
      </c>
      <c r="I41" s="12" t="n">
        <v>280</v>
      </c>
      <c r="J41" s="12" t="n">
        <v>161</v>
      </c>
      <c r="K41" s="12" t="n">
        <v>243</v>
      </c>
      <c r="L41" s="12" t="n">
        <v>6</v>
      </c>
      <c r="M41" s="12" t="n">
        <v>724</v>
      </c>
      <c r="N41" s="12" t="n">
        <v>222</v>
      </c>
      <c r="O41" s="12" t="n">
        <v>217</v>
      </c>
      <c r="P41" s="12" t="n">
        <v>126</v>
      </c>
      <c r="Q41" s="12" t="n">
        <v>80</v>
      </c>
      <c r="R41" s="12" t="n">
        <v>693</v>
      </c>
      <c r="S41" s="12" t="n">
        <v>-31</v>
      </c>
      <c r="T41" s="15" t="n">
        <v>-0.0428</v>
      </c>
      <c r="U41" s="12" t="n">
        <v>-58</v>
      </c>
      <c r="V41" s="12" t="n">
        <v>56</v>
      </c>
      <c r="W41" s="12" t="n">
        <v>-117</v>
      </c>
      <c r="X41" s="12" t="n">
        <v>74</v>
      </c>
    </row>
    <row r="42" ht="20" customHeight="1">
      <c r="A42" s="47" t="n">
        <v>41</v>
      </c>
      <c r="B42" s="3" t="inlineStr">
        <is>
          <t>Jagdev Khurd</t>
        </is>
      </c>
      <c r="C42" s="3" t="inlineStr">
        <is>
          <t>ਜਗਦੇਵ ਖੁਰਦ</t>
        </is>
      </c>
      <c r="D42" s="7" t="inlineStr">
        <is>
          <t>AAP</t>
        </is>
      </c>
      <c r="E42" s="5" t="n">
        <v>45</v>
      </c>
      <c r="F42" s="7" t="inlineStr">
        <is>
          <t>INC</t>
        </is>
      </c>
      <c r="G42" s="5" t="n">
        <v>68</v>
      </c>
      <c r="H42" s="37" t="inlineStr">
        <is>
          <t>AAP → INC</t>
        </is>
      </c>
      <c r="I42" s="5" t="n">
        <v>180</v>
      </c>
      <c r="J42" s="5" t="n">
        <v>225</v>
      </c>
      <c r="K42" s="5" t="n">
        <v>113</v>
      </c>
      <c r="L42" s="5" t="n">
        <v>1</v>
      </c>
      <c r="M42" s="5" t="n">
        <v>549</v>
      </c>
      <c r="N42" s="5" t="n">
        <v>187</v>
      </c>
      <c r="O42" s="5" t="n">
        <v>119</v>
      </c>
      <c r="P42" s="5" t="n">
        <v>92</v>
      </c>
      <c r="Q42" s="5" t="n">
        <v>54</v>
      </c>
      <c r="R42" s="5" t="n">
        <v>480</v>
      </c>
      <c r="S42" s="5" t="n">
        <v>-69</v>
      </c>
      <c r="T42" s="8" t="n">
        <v>-0.1257</v>
      </c>
      <c r="U42" s="5" t="n">
        <v>7</v>
      </c>
      <c r="V42" s="5" t="n">
        <v>-106</v>
      </c>
      <c r="W42" s="5" t="n">
        <v>-21</v>
      </c>
      <c r="X42" s="5" t="n">
        <v>53</v>
      </c>
    </row>
    <row r="43" ht="20" customHeight="1">
      <c r="A43" s="44" t="n">
        <v>42</v>
      </c>
      <c r="B43" s="10" t="inlineStr">
        <is>
          <t>Jagdev Khurd</t>
        </is>
      </c>
      <c r="C43" s="10" t="inlineStr">
        <is>
          <t>ਜਗਦੇਵ ਖੁਰਦ</t>
        </is>
      </c>
      <c r="D43" s="14" t="inlineStr">
        <is>
          <t>AAP</t>
        </is>
      </c>
      <c r="E43" s="12" t="n">
        <v>21</v>
      </c>
      <c r="F43" s="14" t="inlineStr">
        <is>
          <t>INC</t>
        </is>
      </c>
      <c r="G43" s="12" t="n">
        <v>62</v>
      </c>
      <c r="H43" s="37" t="inlineStr">
        <is>
          <t>AAP → INC</t>
        </is>
      </c>
      <c r="I43" s="12" t="n">
        <v>161</v>
      </c>
      <c r="J43" s="12" t="n">
        <v>182</v>
      </c>
      <c r="K43" s="12" t="n">
        <v>129</v>
      </c>
      <c r="L43" s="12" t="n">
        <v>0</v>
      </c>
      <c r="M43" s="12" t="n">
        <v>493</v>
      </c>
      <c r="N43" s="12" t="n">
        <v>180</v>
      </c>
      <c r="O43" s="12" t="n">
        <v>118</v>
      </c>
      <c r="P43" s="12" t="n">
        <v>68</v>
      </c>
      <c r="Q43" s="12" t="n">
        <v>71</v>
      </c>
      <c r="R43" s="12" t="n">
        <v>456</v>
      </c>
      <c r="S43" s="12" t="n">
        <v>-37</v>
      </c>
      <c r="T43" s="15" t="n">
        <v>-0.0751</v>
      </c>
      <c r="U43" s="12" t="n">
        <v>19</v>
      </c>
      <c r="V43" s="12" t="n">
        <v>-64</v>
      </c>
      <c r="W43" s="12" t="n">
        <v>-61</v>
      </c>
      <c r="X43" s="12" t="n">
        <v>71</v>
      </c>
    </row>
    <row r="44" ht="20" customHeight="1">
      <c r="A44" s="47" t="n">
        <v>43</v>
      </c>
      <c r="B44" s="3" t="inlineStr">
        <is>
          <t>Aliwal Kotli</t>
        </is>
      </c>
      <c r="C44" s="3" t="inlineStr">
        <is>
          <t>ਅਲੀਵਾਲ ਕੋਟਲੀ</t>
        </is>
      </c>
      <c r="D44" s="7" t="inlineStr">
        <is>
          <t>AAP</t>
        </is>
      </c>
      <c r="E44" s="5" t="n">
        <v>44</v>
      </c>
      <c r="F44" s="7" t="inlineStr">
        <is>
          <t>INC</t>
        </is>
      </c>
      <c r="G44" s="5" t="n">
        <v>7</v>
      </c>
      <c r="H44" s="37" t="inlineStr">
        <is>
          <t>AAP → INC</t>
        </is>
      </c>
      <c r="I44" s="5" t="n">
        <v>153</v>
      </c>
      <c r="J44" s="5" t="n">
        <v>197</v>
      </c>
      <c r="K44" s="5" t="n">
        <v>61</v>
      </c>
      <c r="L44" s="5" t="n">
        <v>0</v>
      </c>
      <c r="M44" s="5" t="n">
        <v>480</v>
      </c>
      <c r="N44" s="5" t="n">
        <v>200</v>
      </c>
      <c r="O44" s="5" t="n">
        <v>193</v>
      </c>
      <c r="P44" s="5" t="n">
        <v>33</v>
      </c>
      <c r="Q44" s="5" t="n">
        <v>17</v>
      </c>
      <c r="R44" s="5" t="n">
        <v>464</v>
      </c>
      <c r="S44" s="5" t="n">
        <v>-16</v>
      </c>
      <c r="T44" s="8" t="n">
        <v>-0.0333</v>
      </c>
      <c r="U44" s="5" t="n">
        <v>47</v>
      </c>
      <c r="V44" s="5" t="n">
        <v>-4</v>
      </c>
      <c r="W44" s="5" t="n">
        <v>-28</v>
      </c>
      <c r="X44" s="5" t="n">
        <v>17</v>
      </c>
    </row>
    <row r="45" ht="20" customHeight="1">
      <c r="A45" s="44" t="n">
        <v>44</v>
      </c>
      <c r="B45" s="10" t="inlineStr">
        <is>
          <t>Gurala</t>
        </is>
      </c>
      <c r="C45" s="10" t="inlineStr">
        <is>
          <t>ਗੁਰਾਲਾ</t>
        </is>
      </c>
      <c r="D45" s="14" t="inlineStr">
        <is>
          <t>SAD</t>
        </is>
      </c>
      <c r="E45" s="12" t="n">
        <v>132</v>
      </c>
      <c r="F45" s="14" t="inlineStr">
        <is>
          <t>INC</t>
        </is>
      </c>
      <c r="G45" s="12" t="n">
        <v>20</v>
      </c>
      <c r="H45" s="37" t="inlineStr">
        <is>
          <t>SAD → INC</t>
        </is>
      </c>
      <c r="I45" s="12" t="n">
        <v>161</v>
      </c>
      <c r="J45" s="12" t="n">
        <v>258</v>
      </c>
      <c r="K45" s="12" t="n">
        <v>390</v>
      </c>
      <c r="L45" s="12" t="n">
        <v>0</v>
      </c>
      <c r="M45" s="12" t="n">
        <v>858</v>
      </c>
      <c r="N45" s="12" t="n">
        <v>209</v>
      </c>
      <c r="O45" s="12" t="n">
        <v>189</v>
      </c>
      <c r="P45" s="12" t="n">
        <v>63</v>
      </c>
      <c r="Q45" s="12" t="n">
        <v>125</v>
      </c>
      <c r="R45" s="12" t="n">
        <v>681</v>
      </c>
      <c r="S45" s="12" t="n">
        <v>-177</v>
      </c>
      <c r="T45" s="15" t="n">
        <v>-0.2063</v>
      </c>
      <c r="U45" s="12" t="n">
        <v>48</v>
      </c>
      <c r="V45" s="12" t="n">
        <v>-69</v>
      </c>
      <c r="W45" s="12" t="n">
        <v>-327</v>
      </c>
      <c r="X45" s="12" t="n">
        <v>125</v>
      </c>
    </row>
    <row r="46" ht="20" customHeight="1">
      <c r="A46" s="47" t="n">
        <v>45</v>
      </c>
      <c r="B46" s="3" t="inlineStr">
        <is>
          <t>Terha Rajputa</t>
        </is>
      </c>
      <c r="C46" s="3" t="inlineStr">
        <is>
          <t>ਤੇੜ੍ਹਾ ਰਾਜਪੂਤਾਂ</t>
        </is>
      </c>
      <c r="D46" s="7" t="inlineStr">
        <is>
          <t>AAP</t>
        </is>
      </c>
      <c r="E46" s="5" t="n">
        <v>181</v>
      </c>
      <c r="F46" s="7" t="inlineStr">
        <is>
          <t>AAP</t>
        </is>
      </c>
      <c r="G46" s="5" t="n">
        <v>77</v>
      </c>
      <c r="H46" s="32" t="inlineStr">
        <is>
          <t>Retained AAP</t>
        </is>
      </c>
      <c r="I46" s="5" t="n">
        <v>185</v>
      </c>
      <c r="J46" s="5" t="n">
        <v>371</v>
      </c>
      <c r="K46" s="5" t="n">
        <v>190</v>
      </c>
      <c r="L46" s="5" t="n">
        <v>8</v>
      </c>
      <c r="M46" s="5" t="n">
        <v>822</v>
      </c>
      <c r="N46" s="5" t="n">
        <v>228</v>
      </c>
      <c r="O46" s="5" t="n">
        <v>305</v>
      </c>
      <c r="P46" s="5" t="n">
        <v>118</v>
      </c>
      <c r="Q46" s="5" t="n">
        <v>78</v>
      </c>
      <c r="R46" s="5" t="n">
        <v>816</v>
      </c>
      <c r="S46" s="5" t="n">
        <v>-6</v>
      </c>
      <c r="T46" s="8" t="n">
        <v>-0.73</v>
      </c>
      <c r="U46" s="5" t="n">
        <v>43</v>
      </c>
      <c r="V46" s="5" t="n">
        <v>-66</v>
      </c>
      <c r="W46" s="5" t="n">
        <v>-72</v>
      </c>
      <c r="X46" s="5" t="n">
        <v>70</v>
      </c>
    </row>
    <row r="47" ht="20" customHeight="1">
      <c r="A47" s="44" t="n">
        <v>46</v>
      </c>
      <c r="B47" s="10" t="inlineStr">
        <is>
          <t>Abadi Dinewali</t>
        </is>
      </c>
      <c r="C47" s="10" t="inlineStr">
        <is>
          <t>ਆਬਾਦੀ ਦੀਨੇਵਾਲੀ</t>
        </is>
      </c>
      <c r="D47" s="14" t="inlineStr">
        <is>
          <t>AAP</t>
        </is>
      </c>
      <c r="E47" s="12" t="n">
        <v>81</v>
      </c>
      <c r="F47" s="14" t="inlineStr">
        <is>
          <t>BJP</t>
        </is>
      </c>
      <c r="G47" s="12" t="n">
        <v>59</v>
      </c>
      <c r="H47" s="37" t="inlineStr">
        <is>
          <t>AAP → BJP</t>
        </is>
      </c>
      <c r="I47" s="12" t="n">
        <v>174</v>
      </c>
      <c r="J47" s="12" t="n">
        <v>255</v>
      </c>
      <c r="K47" s="12" t="n">
        <v>131</v>
      </c>
      <c r="L47" s="12" t="n">
        <v>1</v>
      </c>
      <c r="M47" s="12" t="n">
        <v>574</v>
      </c>
      <c r="N47" s="12" t="n">
        <v>147</v>
      </c>
      <c r="O47" s="12" t="n">
        <v>62</v>
      </c>
      <c r="P47" s="12" t="n">
        <v>99</v>
      </c>
      <c r="Q47" s="12" t="n">
        <v>206</v>
      </c>
      <c r="R47" s="12" t="n">
        <v>595</v>
      </c>
      <c r="S47" s="12" t="n">
        <v>21</v>
      </c>
      <c r="T47" s="15" t="n">
        <v>0.0366</v>
      </c>
      <c r="U47" s="12" t="n">
        <v>-27</v>
      </c>
      <c r="V47" s="12" t="n">
        <v>-193</v>
      </c>
      <c r="W47" s="12" t="n">
        <v>-32</v>
      </c>
      <c r="X47" s="12" t="n">
        <v>205</v>
      </c>
    </row>
    <row r="48" ht="20" customHeight="1">
      <c r="A48" s="47" t="n">
        <v>47</v>
      </c>
      <c r="B48" s="3" t="inlineStr">
        <is>
          <t>Dalla Rajputa</t>
        </is>
      </c>
      <c r="C48" s="3" t="inlineStr">
        <is>
          <t>ਡੱਲਾ ਰਾਜਪੂਤਾਂ</t>
        </is>
      </c>
      <c r="D48" s="7" t="inlineStr">
        <is>
          <t>AAP</t>
        </is>
      </c>
      <c r="E48" s="5" t="n">
        <v>92</v>
      </c>
      <c r="F48" s="7" t="inlineStr">
        <is>
          <t>INC</t>
        </is>
      </c>
      <c r="G48" s="5" t="n">
        <v>102</v>
      </c>
      <c r="H48" s="37" t="inlineStr">
        <is>
          <t>AAP → INC</t>
        </is>
      </c>
      <c r="I48" s="5" t="n">
        <v>227</v>
      </c>
      <c r="J48" s="5" t="n">
        <v>319</v>
      </c>
      <c r="K48" s="5" t="n">
        <v>150</v>
      </c>
      <c r="L48" s="5" t="n">
        <v>3</v>
      </c>
      <c r="M48" s="5" t="n">
        <v>750</v>
      </c>
      <c r="N48" s="5" t="n">
        <v>252</v>
      </c>
      <c r="O48" s="5" t="n">
        <v>135</v>
      </c>
      <c r="P48" s="5" t="n">
        <v>57</v>
      </c>
      <c r="Q48" s="5" t="n">
        <v>150</v>
      </c>
      <c r="R48" s="5" t="n">
        <v>659</v>
      </c>
      <c r="S48" s="5" t="n">
        <v>-91</v>
      </c>
      <c r="T48" s="8" t="n">
        <v>-0.1213</v>
      </c>
      <c r="U48" s="5" t="n">
        <v>25</v>
      </c>
      <c r="V48" s="5" t="n">
        <v>-184</v>
      </c>
      <c r="W48" s="5" t="n">
        <v>-93</v>
      </c>
      <c r="X48" s="5" t="n">
        <v>147</v>
      </c>
    </row>
    <row r="49" ht="20" customHeight="1">
      <c r="A49" s="44" t="n">
        <v>48</v>
      </c>
      <c r="B49" s="10" t="inlineStr">
        <is>
          <t>Dalla Rajputa</t>
        </is>
      </c>
      <c r="C49" s="10" t="inlineStr">
        <is>
          <t>ਡੱਲਾ ਰਾਜਪੂਤਾਂ</t>
        </is>
      </c>
      <c r="D49" s="14" t="inlineStr">
        <is>
          <t>AAP</t>
        </is>
      </c>
      <c r="E49" s="12" t="n">
        <v>141</v>
      </c>
      <c r="F49" s="14" t="inlineStr">
        <is>
          <t>BJP</t>
        </is>
      </c>
      <c r="G49" s="12" t="n">
        <v>21</v>
      </c>
      <c r="H49" s="37" t="inlineStr">
        <is>
          <t>AAP → BJP</t>
        </is>
      </c>
      <c r="I49" s="12" t="n">
        <v>124</v>
      </c>
      <c r="J49" s="12" t="n">
        <v>287</v>
      </c>
      <c r="K49" s="12" t="n">
        <v>146</v>
      </c>
      <c r="L49" s="12" t="n">
        <v>7</v>
      </c>
      <c r="M49" s="12" t="n">
        <v>625</v>
      </c>
      <c r="N49" s="12" t="n">
        <v>139</v>
      </c>
      <c r="O49" s="12" t="n">
        <v>105</v>
      </c>
      <c r="P49" s="12" t="n">
        <v>75</v>
      </c>
      <c r="Q49" s="12" t="n">
        <v>160</v>
      </c>
      <c r="R49" s="12" t="n">
        <v>542</v>
      </c>
      <c r="S49" s="12" t="n">
        <v>-83</v>
      </c>
      <c r="T49" s="15" t="n">
        <v>-0.1328</v>
      </c>
      <c r="U49" s="12" t="n">
        <v>15</v>
      </c>
      <c r="V49" s="12" t="n">
        <v>-182</v>
      </c>
      <c r="W49" s="12" t="n">
        <v>-71</v>
      </c>
      <c r="X49" s="12" t="n">
        <v>153</v>
      </c>
    </row>
    <row r="50" ht="20" customHeight="1">
      <c r="A50" s="47" t="n">
        <v>49</v>
      </c>
      <c r="B50" s="3" t="inlineStr">
        <is>
          <t>Dalla Rajputa</t>
        </is>
      </c>
      <c r="C50" s="3" t="inlineStr">
        <is>
          <t>ਡੱਲਾ ਰਾਜਪੂਤਾਂ</t>
        </is>
      </c>
      <c r="D50" s="7" t="inlineStr">
        <is>
          <t>AAP</t>
        </is>
      </c>
      <c r="E50" s="5" t="n">
        <v>96</v>
      </c>
      <c r="F50" s="7" t="inlineStr">
        <is>
          <t>BJP</t>
        </is>
      </c>
      <c r="G50" s="5" t="n">
        <v>63</v>
      </c>
      <c r="H50" s="37" t="inlineStr">
        <is>
          <t>AAP → BJP</t>
        </is>
      </c>
      <c r="I50" s="5" t="n">
        <v>150</v>
      </c>
      <c r="J50" s="5" t="n">
        <v>254</v>
      </c>
      <c r="K50" s="5" t="n">
        <v>158</v>
      </c>
      <c r="L50" s="5" t="n">
        <v>2</v>
      </c>
      <c r="M50" s="5" t="n">
        <v>606</v>
      </c>
      <c r="N50" s="5" t="n">
        <v>135</v>
      </c>
      <c r="O50" s="5" t="n">
        <v>69</v>
      </c>
      <c r="P50" s="5" t="n">
        <v>81</v>
      </c>
      <c r="Q50" s="5" t="n">
        <v>198</v>
      </c>
      <c r="R50" s="5" t="n">
        <v>569</v>
      </c>
      <c r="S50" s="5" t="n">
        <v>-37</v>
      </c>
      <c r="T50" s="8" t="n">
        <v>-0.0611</v>
      </c>
      <c r="U50" s="5" t="n">
        <v>-15</v>
      </c>
      <c r="V50" s="5" t="n">
        <v>-185</v>
      </c>
      <c r="W50" s="5" t="n">
        <v>-77</v>
      </c>
      <c r="X50" s="5" t="n">
        <v>196</v>
      </c>
    </row>
    <row r="51" ht="20" customHeight="1">
      <c r="A51" s="44" t="n">
        <v>50</v>
      </c>
      <c r="B51" s="10" t="inlineStr">
        <is>
          <t>Balarhwal</t>
        </is>
      </c>
      <c r="C51" s="10" t="inlineStr">
        <is>
          <t>ਬਲੜ੍ਹਵਾਲ</t>
        </is>
      </c>
      <c r="D51" s="14" t="inlineStr">
        <is>
          <t>SAD</t>
        </is>
      </c>
      <c r="E51" s="12" t="n">
        <v>4</v>
      </c>
      <c r="F51" s="14" t="inlineStr">
        <is>
          <t>BJP</t>
        </is>
      </c>
      <c r="G51" s="12" t="n">
        <v>64</v>
      </c>
      <c r="H51" s="37" t="inlineStr">
        <is>
          <t>SAD → BJP</t>
        </is>
      </c>
      <c r="I51" s="12" t="n">
        <v>201</v>
      </c>
      <c r="J51" s="12" t="n">
        <v>279</v>
      </c>
      <c r="K51" s="12" t="n">
        <v>283</v>
      </c>
      <c r="L51" s="12" t="n">
        <v>3</v>
      </c>
      <c r="M51" s="12" t="n">
        <v>821</v>
      </c>
      <c r="N51" s="12" t="n">
        <v>134</v>
      </c>
      <c r="O51" s="12" t="n">
        <v>208</v>
      </c>
      <c r="P51" s="12" t="n">
        <v>52</v>
      </c>
      <c r="Q51" s="12" t="n">
        <v>272</v>
      </c>
      <c r="R51" s="12" t="n">
        <v>739</v>
      </c>
      <c r="S51" s="12" t="n">
        <v>-82</v>
      </c>
      <c r="T51" s="15" t="n">
        <v>-0.0999</v>
      </c>
      <c r="U51" s="12" t="n">
        <v>-67</v>
      </c>
      <c r="V51" s="12" t="n">
        <v>-71</v>
      </c>
      <c r="W51" s="12" t="n">
        <v>-231</v>
      </c>
      <c r="X51" s="12" t="n">
        <v>269</v>
      </c>
    </row>
    <row r="52" ht="20" customHeight="1">
      <c r="A52" s="47" t="n">
        <v>51</v>
      </c>
      <c r="B52" s="3" t="inlineStr">
        <is>
          <t>Balarhwal</t>
        </is>
      </c>
      <c r="C52" s="3" t="inlineStr">
        <is>
          <t>ਬਲੜ੍ਹਵਾਲ</t>
        </is>
      </c>
      <c r="D52" s="7" t="inlineStr">
        <is>
          <t>AAP</t>
        </is>
      </c>
      <c r="E52" s="5" t="n">
        <v>74</v>
      </c>
      <c r="F52" s="7" t="inlineStr">
        <is>
          <t>AAP</t>
        </is>
      </c>
      <c r="G52" s="5" t="n">
        <v>119</v>
      </c>
      <c r="H52" s="32" t="inlineStr">
        <is>
          <t>Retained AAP</t>
        </is>
      </c>
      <c r="I52" s="5" t="n">
        <v>243</v>
      </c>
      <c r="J52" s="5" t="n">
        <v>327</v>
      </c>
      <c r="K52" s="5" t="n">
        <v>253</v>
      </c>
      <c r="L52" s="5" t="n">
        <v>1</v>
      </c>
      <c r="M52" s="5" t="n">
        <v>875</v>
      </c>
      <c r="N52" s="5" t="n">
        <v>194</v>
      </c>
      <c r="O52" s="5" t="n">
        <v>313</v>
      </c>
      <c r="P52" s="5" t="n">
        <v>77</v>
      </c>
      <c r="Q52" s="5" t="n">
        <v>161</v>
      </c>
      <c r="R52" s="5" t="n">
        <v>905</v>
      </c>
      <c r="S52" s="5" t="n">
        <v>30</v>
      </c>
      <c r="T52" s="8" t="n">
        <v>0.0343</v>
      </c>
      <c r="U52" s="5" t="n">
        <v>-49</v>
      </c>
      <c r="V52" s="5" t="n">
        <v>-14</v>
      </c>
      <c r="W52" s="5" t="n">
        <v>-176</v>
      </c>
      <c r="X52" s="5" t="n">
        <v>160</v>
      </c>
    </row>
    <row r="53" ht="20" customHeight="1">
      <c r="A53" s="44" t="n">
        <v>52</v>
      </c>
      <c r="B53" s="10" t="inlineStr">
        <is>
          <t>Balarhwal</t>
        </is>
      </c>
      <c r="C53" s="10" t="inlineStr">
        <is>
          <t>ਬਲੜ੍ਹਵਾਲ</t>
        </is>
      </c>
      <c r="D53" s="14" t="inlineStr">
        <is>
          <t>AAP</t>
        </is>
      </c>
      <c r="E53" s="12" t="n">
        <v>37</v>
      </c>
      <c r="F53" s="14" t="inlineStr">
        <is>
          <t>BJP</t>
        </is>
      </c>
      <c r="G53" s="12" t="n">
        <v>156</v>
      </c>
      <c r="H53" s="37" t="inlineStr">
        <is>
          <t>AAP → BJP</t>
        </is>
      </c>
      <c r="I53" s="12" t="n">
        <v>269</v>
      </c>
      <c r="J53" s="12" t="n">
        <v>306</v>
      </c>
      <c r="K53" s="12" t="n">
        <v>257</v>
      </c>
      <c r="L53" s="12" t="n">
        <v>3</v>
      </c>
      <c r="M53" s="12" t="n">
        <v>877</v>
      </c>
      <c r="N53" s="12" t="n">
        <v>185</v>
      </c>
      <c r="O53" s="12" t="n">
        <v>135</v>
      </c>
      <c r="P53" s="12" t="n">
        <v>53</v>
      </c>
      <c r="Q53" s="12" t="n">
        <v>341</v>
      </c>
      <c r="R53" s="12" t="n">
        <v>842</v>
      </c>
      <c r="S53" s="12" t="n">
        <v>-35</v>
      </c>
      <c r="T53" s="15" t="n">
        <v>-0.0399</v>
      </c>
      <c r="U53" s="12" t="n">
        <v>-84</v>
      </c>
      <c r="V53" s="12" t="n">
        <v>-171</v>
      </c>
      <c r="W53" s="12" t="n">
        <v>-204</v>
      </c>
      <c r="X53" s="12" t="n">
        <v>338</v>
      </c>
    </row>
    <row r="54" ht="20" customHeight="1">
      <c r="A54" s="47" t="n">
        <v>53</v>
      </c>
      <c r="B54" s="3" t="inlineStr">
        <is>
          <t>Khanwal</t>
        </is>
      </c>
      <c r="C54" s="3" t="inlineStr">
        <is>
          <t>ਖਾਨਵਾਲ</t>
        </is>
      </c>
      <c r="D54" s="7" t="inlineStr">
        <is>
          <t>SAD</t>
        </is>
      </c>
      <c r="E54" s="5" t="n">
        <v>1</v>
      </c>
      <c r="F54" s="7" t="inlineStr">
        <is>
          <t>BJP</t>
        </is>
      </c>
      <c r="G54" s="5" t="n">
        <v>51</v>
      </c>
      <c r="H54" s="37" t="inlineStr">
        <is>
          <t>SAD → BJP</t>
        </is>
      </c>
      <c r="I54" s="5" t="n">
        <v>293</v>
      </c>
      <c r="J54" s="5" t="n">
        <v>213</v>
      </c>
      <c r="K54" s="5" t="n">
        <v>294</v>
      </c>
      <c r="L54" s="5" t="n">
        <v>22</v>
      </c>
      <c r="M54" s="5" t="n">
        <v>889</v>
      </c>
      <c r="N54" s="5" t="n">
        <v>301</v>
      </c>
      <c r="O54" s="5" t="n">
        <v>103</v>
      </c>
      <c r="P54" s="5" t="n">
        <v>35</v>
      </c>
      <c r="Q54" s="5" t="n">
        <v>352</v>
      </c>
      <c r="R54" s="5" t="n">
        <v>873</v>
      </c>
      <c r="S54" s="5" t="n">
        <v>-16</v>
      </c>
      <c r="T54" s="8" t="n">
        <v>-0.018</v>
      </c>
      <c r="U54" s="5" t="n">
        <v>8</v>
      </c>
      <c r="V54" s="5" t="n">
        <v>-110</v>
      </c>
      <c r="W54" s="5" t="n">
        <v>-259</v>
      </c>
      <c r="X54" s="5" t="n">
        <v>330</v>
      </c>
    </row>
    <row r="55" ht="20" customHeight="1">
      <c r="A55" s="44" t="n">
        <v>54</v>
      </c>
      <c r="B55" s="10" t="inlineStr">
        <is>
          <t>Raipur Kalan</t>
        </is>
      </c>
      <c r="C55" s="10" t="inlineStr">
        <is>
          <t>ਰਾਏਪੁਰ ਕਲਾਂ</t>
        </is>
      </c>
      <c r="D55" s="14" t="inlineStr">
        <is>
          <t>INC</t>
        </is>
      </c>
      <c r="E55" s="12" t="n">
        <v>103</v>
      </c>
      <c r="F55" s="14" t="inlineStr">
        <is>
          <t>INC</t>
        </is>
      </c>
      <c r="G55" s="12" t="n">
        <v>117</v>
      </c>
      <c r="H55" s="32" t="inlineStr">
        <is>
          <t>Retained INC</t>
        </is>
      </c>
      <c r="I55" s="12" t="n">
        <v>373</v>
      </c>
      <c r="J55" s="12" t="n">
        <v>270</v>
      </c>
      <c r="K55" s="12" t="n">
        <v>184</v>
      </c>
      <c r="L55" s="12" t="n">
        <v>2</v>
      </c>
      <c r="M55" s="12" t="n">
        <v>910</v>
      </c>
      <c r="N55" s="12" t="n">
        <v>359</v>
      </c>
      <c r="O55" s="12" t="n">
        <v>242</v>
      </c>
      <c r="P55" s="12" t="n">
        <v>46</v>
      </c>
      <c r="Q55" s="12" t="n">
        <v>88</v>
      </c>
      <c r="R55" s="12" t="n">
        <v>834</v>
      </c>
      <c r="S55" s="12" t="n">
        <v>-76</v>
      </c>
      <c r="T55" s="15" t="n">
        <v>-0.08349999999999999</v>
      </c>
      <c r="U55" s="12" t="n">
        <v>-14</v>
      </c>
      <c r="V55" s="12" t="n">
        <v>-28</v>
      </c>
      <c r="W55" s="12" t="n">
        <v>-138</v>
      </c>
      <c r="X55" s="12" t="n">
        <v>86</v>
      </c>
    </row>
    <row r="56" ht="20" customHeight="1">
      <c r="A56" s="47" t="n">
        <v>55</v>
      </c>
      <c r="B56" s="3" t="inlineStr">
        <is>
          <t>Sheikh Bhati</t>
        </is>
      </c>
      <c r="C56" s="3" t="inlineStr">
        <is>
          <t>ਸ਼ੇਖ਼ ਭੱਟੀ</t>
        </is>
      </c>
      <c r="D56" s="7" t="inlineStr">
        <is>
          <t>INC</t>
        </is>
      </c>
      <c r="E56" s="5" t="n">
        <v>3</v>
      </c>
      <c r="F56" s="7" t="inlineStr">
        <is>
          <t>AAP</t>
        </is>
      </c>
      <c r="G56" s="5" t="n">
        <v>80</v>
      </c>
      <c r="H56" s="37" t="inlineStr">
        <is>
          <t>INC → AAP</t>
        </is>
      </c>
      <c r="I56" s="5" t="n">
        <v>223</v>
      </c>
      <c r="J56" s="5" t="n">
        <v>220</v>
      </c>
      <c r="K56" s="5" t="n">
        <v>187</v>
      </c>
      <c r="L56" s="5" t="n">
        <v>0</v>
      </c>
      <c r="M56" s="5" t="n">
        <v>667</v>
      </c>
      <c r="N56" s="5" t="n">
        <v>182</v>
      </c>
      <c r="O56" s="5" t="n">
        <v>262</v>
      </c>
      <c r="P56" s="5" t="n">
        <v>90</v>
      </c>
      <c r="Q56" s="5" t="n">
        <v>42</v>
      </c>
      <c r="R56" s="5" t="n">
        <v>616</v>
      </c>
      <c r="S56" s="5" t="n">
        <v>-51</v>
      </c>
      <c r="T56" s="8" t="n">
        <v>-0.0765</v>
      </c>
      <c r="U56" s="5" t="n">
        <v>-41</v>
      </c>
      <c r="V56" s="5" t="n">
        <v>42</v>
      </c>
      <c r="W56" s="5" t="n">
        <v>-97</v>
      </c>
      <c r="X56" s="5" t="n">
        <v>42</v>
      </c>
    </row>
    <row r="57" ht="20" customHeight="1">
      <c r="A57" s="44" t="n">
        <v>56</v>
      </c>
      <c r="B57" s="10" t="inlineStr">
        <is>
          <t>Majhi Meeu</t>
        </is>
      </c>
      <c r="C57" s="10" t="inlineStr">
        <is>
          <t>ਮਾਝੀ ਮੀਊ</t>
        </is>
      </c>
      <c r="D57" s="14" t="inlineStr">
        <is>
          <t>SAD</t>
        </is>
      </c>
      <c r="E57" s="12" t="n">
        <v>25</v>
      </c>
      <c r="F57" s="14" t="inlineStr">
        <is>
          <t>AAP</t>
        </is>
      </c>
      <c r="G57" s="12" t="n">
        <v>137</v>
      </c>
      <c r="H57" s="37" t="inlineStr">
        <is>
          <t>SAD → AAP</t>
        </is>
      </c>
      <c r="I57" s="12" t="n">
        <v>71</v>
      </c>
      <c r="J57" s="12" t="n">
        <v>119</v>
      </c>
      <c r="K57" s="12" t="n">
        <v>144</v>
      </c>
      <c r="L57" s="12" t="n">
        <v>3</v>
      </c>
      <c r="M57" s="12" t="n">
        <v>350</v>
      </c>
      <c r="N57" s="12" t="n">
        <v>64</v>
      </c>
      <c r="O57" s="12" t="n">
        <v>201</v>
      </c>
      <c r="P57" s="12" t="n">
        <v>15</v>
      </c>
      <c r="Q57" s="12" t="n">
        <v>54</v>
      </c>
      <c r="R57" s="12" t="n">
        <v>367</v>
      </c>
      <c r="S57" s="12" t="n">
        <v>17</v>
      </c>
      <c r="T57" s="15" t="n">
        <v>0.0486</v>
      </c>
      <c r="U57" s="12" t="n">
        <v>-7</v>
      </c>
      <c r="V57" s="12" t="n">
        <v>82</v>
      </c>
      <c r="W57" s="12" t="n">
        <v>-129</v>
      </c>
      <c r="X57" s="12" t="n">
        <v>51</v>
      </c>
    </row>
    <row r="58" ht="20" customHeight="1">
      <c r="A58" s="47" t="n">
        <v>57</v>
      </c>
      <c r="B58" s="3" t="inlineStr">
        <is>
          <t>Saidpur Khurd</t>
        </is>
      </c>
      <c r="C58" s="3" t="inlineStr">
        <is>
          <t>ਸਈਦਪੁਰ ਖੁਰਦ</t>
        </is>
      </c>
      <c r="D58" s="7" t="inlineStr">
        <is>
          <t>SAD</t>
        </is>
      </c>
      <c r="E58" s="5" t="n">
        <v>19</v>
      </c>
      <c r="F58" s="7" t="inlineStr">
        <is>
          <t>AAP</t>
        </is>
      </c>
      <c r="G58" s="5" t="n">
        <v>32</v>
      </c>
      <c r="H58" s="37" t="inlineStr">
        <is>
          <t>SAD → AAP</t>
        </is>
      </c>
      <c r="I58" s="5" t="n">
        <v>168</v>
      </c>
      <c r="J58" s="5" t="n">
        <v>142</v>
      </c>
      <c r="K58" s="5" t="n">
        <v>187</v>
      </c>
      <c r="L58" s="5" t="n">
        <v>4</v>
      </c>
      <c r="M58" s="5" t="n">
        <v>522</v>
      </c>
      <c r="N58" s="5" t="n">
        <v>136</v>
      </c>
      <c r="O58" s="5" t="n">
        <v>168</v>
      </c>
      <c r="P58" s="5" t="n">
        <v>81</v>
      </c>
      <c r="Q58" s="5" t="n">
        <v>82</v>
      </c>
      <c r="R58" s="5" t="n">
        <v>517</v>
      </c>
      <c r="S58" s="5" t="n">
        <v>-5</v>
      </c>
      <c r="T58" s="8" t="n">
        <v>-0.96</v>
      </c>
      <c r="U58" s="5" t="n">
        <v>-32</v>
      </c>
      <c r="V58" s="5" t="n">
        <v>26</v>
      </c>
      <c r="W58" s="5" t="n">
        <v>-106</v>
      </c>
      <c r="X58" s="5" t="n">
        <v>78</v>
      </c>
    </row>
    <row r="59" ht="20" customHeight="1">
      <c r="A59" s="44" t="n">
        <v>58</v>
      </c>
      <c r="B59" s="10" t="inlineStr">
        <is>
          <t>Hashampura</t>
        </is>
      </c>
      <c r="C59" s="10" t="inlineStr">
        <is>
          <t>ਹਾਸ਼ਮਪੁਰਾ</t>
        </is>
      </c>
      <c r="D59" s="14" t="inlineStr">
        <is>
          <t>SAD</t>
        </is>
      </c>
      <c r="E59" s="12" t="n">
        <v>25</v>
      </c>
      <c r="F59" s="14" t="inlineStr">
        <is>
          <t>INC</t>
        </is>
      </c>
      <c r="G59" s="12" t="n">
        <v>81</v>
      </c>
      <c r="H59" s="37" t="inlineStr">
        <is>
          <t>SAD → INC</t>
        </is>
      </c>
      <c r="I59" s="12" t="n">
        <v>259</v>
      </c>
      <c r="J59" s="12" t="n">
        <v>284</v>
      </c>
      <c r="K59" s="12" t="n">
        <v>309</v>
      </c>
      <c r="L59" s="12" t="n">
        <v>3</v>
      </c>
      <c r="M59" s="12" t="n">
        <v>919</v>
      </c>
      <c r="N59" s="12" t="n">
        <v>290</v>
      </c>
      <c r="O59" s="12" t="n">
        <v>209</v>
      </c>
      <c r="P59" s="12" t="n">
        <v>88</v>
      </c>
      <c r="Q59" s="12" t="n">
        <v>119</v>
      </c>
      <c r="R59" s="12" t="n">
        <v>775</v>
      </c>
      <c r="S59" s="12" t="n">
        <v>-144</v>
      </c>
      <c r="T59" s="15" t="n">
        <v>-0.1567</v>
      </c>
      <c r="U59" s="12" t="n">
        <v>31</v>
      </c>
      <c r="V59" s="12" t="n">
        <v>-75</v>
      </c>
      <c r="W59" s="12" t="n">
        <v>-221</v>
      </c>
      <c r="X59" s="12" t="n">
        <v>116</v>
      </c>
    </row>
    <row r="60" ht="20" customHeight="1">
      <c r="A60" s="47" t="n">
        <v>59</v>
      </c>
      <c r="B60" s="3" t="inlineStr">
        <is>
          <t>Jafarkot</t>
        </is>
      </c>
      <c r="C60" s="3" t="inlineStr">
        <is>
          <t>ਜਾਫ਼ਰਕੋਟ</t>
        </is>
      </c>
      <c r="D60" s="7" t="inlineStr">
        <is>
          <t>SAD</t>
        </is>
      </c>
      <c r="E60" s="5" t="n">
        <v>18</v>
      </c>
      <c r="F60" s="7" t="inlineStr">
        <is>
          <t>INC</t>
        </is>
      </c>
      <c r="G60" s="5" t="n">
        <v>1</v>
      </c>
      <c r="H60" s="37" t="inlineStr">
        <is>
          <t>SAD → INC</t>
        </is>
      </c>
      <c r="I60" s="5" t="n">
        <v>115</v>
      </c>
      <c r="J60" s="5" t="n">
        <v>151</v>
      </c>
      <c r="K60" s="5" t="n">
        <v>169</v>
      </c>
      <c r="L60" s="5" t="n">
        <v>6</v>
      </c>
      <c r="M60" s="5" t="n">
        <v>638</v>
      </c>
      <c r="N60" s="5" t="n">
        <v>175</v>
      </c>
      <c r="O60" s="5" t="n">
        <v>174</v>
      </c>
      <c r="P60" s="5" t="n">
        <v>44</v>
      </c>
      <c r="Q60" s="5" t="n">
        <v>84</v>
      </c>
      <c r="R60" s="5" t="n">
        <v>551</v>
      </c>
      <c r="S60" s="5" t="n">
        <v>-87</v>
      </c>
      <c r="T60" s="8" t="n">
        <v>-0.1364</v>
      </c>
      <c r="U60" s="5" t="n">
        <v>60</v>
      </c>
      <c r="V60" s="5" t="n">
        <v>23</v>
      </c>
      <c r="W60" s="5" t="n">
        <v>-125</v>
      </c>
      <c r="X60" s="5" t="n">
        <v>78</v>
      </c>
    </row>
    <row r="61" ht="20" customHeight="1">
      <c r="A61" s="44" t="n">
        <v>60</v>
      </c>
      <c r="B61" s="10" t="inlineStr">
        <is>
          <t>Poonga</t>
        </is>
      </c>
      <c r="C61" s="10" t="inlineStr">
        <is>
          <t>ਪੂੰਗਾ</t>
        </is>
      </c>
      <c r="D61" s="14" t="inlineStr">
        <is>
          <t>INC</t>
        </is>
      </c>
      <c r="E61" s="12" t="n">
        <v>16</v>
      </c>
      <c r="F61" s="14" t="inlineStr">
        <is>
          <t>INC</t>
        </is>
      </c>
      <c r="G61" s="12" t="n">
        <v>30</v>
      </c>
      <c r="H61" s="32" t="inlineStr">
        <is>
          <t>Retained INC</t>
        </is>
      </c>
      <c r="I61" s="12" t="n">
        <v>179</v>
      </c>
      <c r="J61" s="12" t="n">
        <v>147</v>
      </c>
      <c r="K61" s="12" t="n">
        <v>163</v>
      </c>
      <c r="L61" s="12" t="n">
        <v>0</v>
      </c>
      <c r="M61" s="12" t="n">
        <v>514</v>
      </c>
      <c r="N61" s="12" t="n">
        <v>152</v>
      </c>
      <c r="O61" s="12" t="n">
        <v>87</v>
      </c>
      <c r="P61" s="12" t="n">
        <v>43</v>
      </c>
      <c r="Q61" s="12" t="n">
        <v>122</v>
      </c>
      <c r="R61" s="12" t="n">
        <v>490</v>
      </c>
      <c r="S61" s="12" t="n">
        <v>-24</v>
      </c>
      <c r="T61" s="15" t="n">
        <v>-0.0467</v>
      </c>
      <c r="U61" s="12" t="n">
        <v>-27</v>
      </c>
      <c r="V61" s="12" t="n">
        <v>-60</v>
      </c>
      <c r="W61" s="12" t="n">
        <v>-120</v>
      </c>
      <c r="X61" s="12" t="n">
        <v>122</v>
      </c>
    </row>
    <row r="62" ht="20" customHeight="1">
      <c r="A62" s="47" t="n">
        <v>61</v>
      </c>
      <c r="B62" s="3" t="inlineStr">
        <is>
          <t>Chakk Aoul</t>
        </is>
      </c>
      <c r="C62" s="3" t="inlineStr">
        <is>
          <t>ਚੱਕ ਔਲ</t>
        </is>
      </c>
      <c r="D62" s="7" t="inlineStr">
        <is>
          <t>AAP</t>
        </is>
      </c>
      <c r="E62" s="5" t="n">
        <v>151</v>
      </c>
      <c r="F62" s="7" t="inlineStr">
        <is>
          <t>INC</t>
        </is>
      </c>
      <c r="G62" s="5" t="n">
        <v>11</v>
      </c>
      <c r="H62" s="37" t="inlineStr">
        <is>
          <t>AAP → INC</t>
        </is>
      </c>
      <c r="I62" s="5" t="n">
        <v>197</v>
      </c>
      <c r="J62" s="5" t="n">
        <v>348</v>
      </c>
      <c r="K62" s="5" t="n">
        <v>135</v>
      </c>
      <c r="L62" s="5" t="n">
        <v>2</v>
      </c>
      <c r="M62" s="5" t="n">
        <v>754</v>
      </c>
      <c r="N62" s="5" t="n">
        <v>219</v>
      </c>
      <c r="O62" s="5" t="n">
        <v>208</v>
      </c>
      <c r="P62" s="5" t="n">
        <v>131</v>
      </c>
      <c r="Q62" s="5" t="n">
        <v>51</v>
      </c>
      <c r="R62" s="5" t="n">
        <v>676</v>
      </c>
      <c r="S62" s="5" t="n">
        <v>-78</v>
      </c>
      <c r="T62" s="8" t="n">
        <v>-0.1034</v>
      </c>
      <c r="U62" s="5" t="n">
        <v>22</v>
      </c>
      <c r="V62" s="5" t="n">
        <v>-140</v>
      </c>
      <c r="W62" s="5" t="n">
        <v>-4</v>
      </c>
      <c r="X62" s="5" t="n">
        <v>49</v>
      </c>
    </row>
    <row r="63" ht="20" customHeight="1">
      <c r="A63" s="44" t="n">
        <v>62</v>
      </c>
      <c r="B63" s="10" t="inlineStr">
        <is>
          <t>Vanjhan Wala</t>
        </is>
      </c>
      <c r="C63" s="10" t="inlineStr">
        <is>
          <t>ਵੰਝਾਂ ਵਾਲਾ</t>
        </is>
      </c>
      <c r="D63" s="14" t="inlineStr">
        <is>
          <t>SAD</t>
        </is>
      </c>
      <c r="E63" s="12" t="n">
        <v>9</v>
      </c>
      <c r="F63" s="14" t="inlineStr">
        <is>
          <t>AAP</t>
        </is>
      </c>
      <c r="G63" s="12" t="n">
        <v>179</v>
      </c>
      <c r="H63" s="37" t="inlineStr">
        <is>
          <t>SAD → AAP</t>
        </is>
      </c>
      <c r="I63" s="12" t="n">
        <v>198</v>
      </c>
      <c r="J63" s="12" t="n">
        <v>182</v>
      </c>
      <c r="K63" s="12" t="n">
        <v>207</v>
      </c>
      <c r="L63" s="12" t="n">
        <v>0</v>
      </c>
      <c r="M63" s="12" t="n">
        <v>608</v>
      </c>
      <c r="N63" s="12" t="n">
        <v>124</v>
      </c>
      <c r="O63" s="12" t="n">
        <v>303</v>
      </c>
      <c r="P63" s="12" t="n">
        <v>27</v>
      </c>
      <c r="Q63" s="12" t="n">
        <v>53</v>
      </c>
      <c r="R63" s="12" t="n">
        <v>585</v>
      </c>
      <c r="S63" s="12" t="n">
        <v>-23</v>
      </c>
      <c r="T63" s="15" t="n">
        <v>-0.0378</v>
      </c>
      <c r="U63" s="12" t="n">
        <v>-74</v>
      </c>
      <c r="V63" s="12" t="n">
        <v>121</v>
      </c>
      <c r="W63" s="12" t="n">
        <v>-180</v>
      </c>
      <c r="X63" s="12" t="n">
        <v>53</v>
      </c>
    </row>
    <row r="64" ht="20" customHeight="1">
      <c r="A64" s="47" t="n">
        <v>63</v>
      </c>
      <c r="B64" s="3" t="inlineStr">
        <is>
          <t>Nangal Vanjhan Wala</t>
        </is>
      </c>
      <c r="C64" s="3" t="inlineStr">
        <is>
          <t>ਨੰਗਲ ਵੰਝਾਂ ਵਾਲਾ</t>
        </is>
      </c>
      <c r="D64" s="7" t="inlineStr">
        <is>
          <t>AAP</t>
        </is>
      </c>
      <c r="E64" s="5" t="n">
        <v>77</v>
      </c>
      <c r="F64" s="7" t="inlineStr">
        <is>
          <t>AAP</t>
        </is>
      </c>
      <c r="G64" s="5" t="n">
        <v>91</v>
      </c>
      <c r="H64" s="32" t="inlineStr">
        <is>
          <t>Retained AAP</t>
        </is>
      </c>
      <c r="I64" s="5" t="n">
        <v>249</v>
      </c>
      <c r="J64" s="5" t="n">
        <v>326</v>
      </c>
      <c r="K64" s="5" t="n">
        <v>203</v>
      </c>
      <c r="L64" s="5" t="n">
        <v>3</v>
      </c>
      <c r="M64" s="5" t="n">
        <v>834</v>
      </c>
      <c r="N64" s="5" t="n">
        <v>167</v>
      </c>
      <c r="O64" s="5" t="n">
        <v>258</v>
      </c>
      <c r="P64" s="5" t="n">
        <v>59</v>
      </c>
      <c r="Q64" s="5" t="n">
        <v>85</v>
      </c>
      <c r="R64" s="5" t="n">
        <v>727</v>
      </c>
      <c r="S64" s="5" t="n">
        <v>-107</v>
      </c>
      <c r="T64" s="8" t="n">
        <v>-0.1283</v>
      </c>
      <c r="U64" s="5" t="n">
        <v>-82</v>
      </c>
      <c r="V64" s="5" t="n">
        <v>-68</v>
      </c>
      <c r="W64" s="5" t="n">
        <v>-144</v>
      </c>
      <c r="X64" s="5" t="n">
        <v>82</v>
      </c>
    </row>
    <row r="65" ht="20" customHeight="1">
      <c r="A65" s="44" t="n">
        <v>64</v>
      </c>
      <c r="B65" s="10" t="inlineStr">
        <is>
          <t>Talwandi Raidadu</t>
        </is>
      </c>
      <c r="C65" s="10" t="inlineStr">
        <is>
          <t>ਤਲਵੰਡੀ ਰਾਇਦਾਦੂ</t>
        </is>
      </c>
      <c r="D65" s="14" t="inlineStr">
        <is>
          <t>SAD</t>
        </is>
      </c>
      <c r="E65" s="12" t="n">
        <v>6</v>
      </c>
      <c r="F65" s="14" t="inlineStr">
        <is>
          <t>AAP</t>
        </is>
      </c>
      <c r="G65" s="12" t="n">
        <v>61</v>
      </c>
      <c r="H65" s="37" t="inlineStr">
        <is>
          <t>SAD → AAP</t>
        </is>
      </c>
      <c r="I65" s="12" t="n">
        <v>294</v>
      </c>
      <c r="J65" s="12" t="n">
        <v>188</v>
      </c>
      <c r="K65" s="12" t="n">
        <v>300</v>
      </c>
      <c r="L65" s="12" t="n">
        <v>2</v>
      </c>
      <c r="M65" s="12" t="n">
        <v>810</v>
      </c>
      <c r="N65" s="12" t="n">
        <v>102</v>
      </c>
      <c r="O65" s="12" t="n">
        <v>291</v>
      </c>
      <c r="P65" s="12" t="n">
        <v>230</v>
      </c>
      <c r="Q65" s="12" t="n">
        <v>158</v>
      </c>
      <c r="R65" s="12" t="n">
        <v>811</v>
      </c>
      <c r="S65" s="12" t="n">
        <v>1</v>
      </c>
      <c r="T65" s="15" t="n">
        <v>0.12</v>
      </c>
      <c r="U65" s="12" t="n">
        <v>-192</v>
      </c>
      <c r="V65" s="12" t="n">
        <v>103</v>
      </c>
      <c r="W65" s="12" t="n">
        <v>-70</v>
      </c>
      <c r="X65" s="12" t="n">
        <v>156</v>
      </c>
    </row>
    <row r="66" ht="20" customHeight="1">
      <c r="A66" s="47" t="n">
        <v>65</v>
      </c>
      <c r="B66" s="3" t="inlineStr">
        <is>
          <t>Fatewal</t>
        </is>
      </c>
      <c r="C66" s="3" t="inlineStr">
        <is>
          <t>ਫਤੇਹਵਾਲ</t>
        </is>
      </c>
      <c r="D66" s="7" t="inlineStr">
        <is>
          <t>SAD</t>
        </is>
      </c>
      <c r="E66" s="5" t="n">
        <v>41</v>
      </c>
      <c r="F66" s="7" t="inlineStr">
        <is>
          <t>AAP</t>
        </is>
      </c>
      <c r="G66" s="5" t="n">
        <v>160</v>
      </c>
      <c r="H66" s="37" t="inlineStr">
        <is>
          <t>SAD → AAP</t>
        </is>
      </c>
      <c r="I66" s="5" t="n">
        <v>142</v>
      </c>
      <c r="J66" s="5" t="n">
        <v>283</v>
      </c>
      <c r="K66" s="5" t="n">
        <v>324</v>
      </c>
      <c r="L66" s="5" t="n">
        <v>0</v>
      </c>
      <c r="M66" s="5" t="n">
        <v>782</v>
      </c>
      <c r="N66" s="5" t="n">
        <v>128</v>
      </c>
      <c r="O66" s="5" t="n">
        <v>288</v>
      </c>
      <c r="P66" s="5" t="n">
        <v>107</v>
      </c>
      <c r="Q66" s="5" t="n">
        <v>122</v>
      </c>
      <c r="R66" s="5" t="n">
        <v>727</v>
      </c>
      <c r="S66" s="5" t="n">
        <v>-55</v>
      </c>
      <c r="T66" s="8" t="n">
        <v>-0.0703</v>
      </c>
      <c r="U66" s="5" t="n">
        <v>-14</v>
      </c>
      <c r="V66" s="5" t="n">
        <v>5</v>
      </c>
      <c r="W66" s="5" t="n">
        <v>-217</v>
      </c>
      <c r="X66" s="5" t="n">
        <v>122</v>
      </c>
    </row>
    <row r="67" ht="20" customHeight="1">
      <c r="A67" s="44" t="n">
        <v>66</v>
      </c>
      <c r="B67" s="10" t="inlineStr">
        <is>
          <t>Sarangdev</t>
        </is>
      </c>
      <c r="C67" s="10" t="inlineStr">
        <is>
          <t>ਸਾਰੰਗਦੇਵ</t>
        </is>
      </c>
      <c r="D67" s="14" t="inlineStr">
        <is>
          <t>AAP</t>
        </is>
      </c>
      <c r="E67" s="12" t="n">
        <v>94</v>
      </c>
      <c r="F67" s="14" t="inlineStr">
        <is>
          <t>INC</t>
        </is>
      </c>
      <c r="G67" s="12" t="n">
        <v>62</v>
      </c>
      <c r="H67" s="37" t="inlineStr">
        <is>
          <t>AAP → INC</t>
        </is>
      </c>
      <c r="I67" s="12" t="n">
        <v>246</v>
      </c>
      <c r="J67" s="12" t="n">
        <v>340</v>
      </c>
      <c r="K67" s="12" t="n">
        <v>226</v>
      </c>
      <c r="L67" s="12" t="n">
        <v>3</v>
      </c>
      <c r="M67" s="12" t="n">
        <v>859</v>
      </c>
      <c r="N67" s="12" t="n">
        <v>293</v>
      </c>
      <c r="O67" s="12" t="n">
        <v>152</v>
      </c>
      <c r="P67" s="12" t="n">
        <v>25</v>
      </c>
      <c r="Q67" s="12" t="n">
        <v>231</v>
      </c>
      <c r="R67" s="12" t="n">
        <v>770</v>
      </c>
      <c r="S67" s="12" t="n">
        <v>-89</v>
      </c>
      <c r="T67" s="15" t="n">
        <v>-0.1036</v>
      </c>
      <c r="U67" s="12" t="n">
        <v>47</v>
      </c>
      <c r="V67" s="12" t="n">
        <v>-188</v>
      </c>
      <c r="W67" s="12" t="n">
        <v>-201</v>
      </c>
      <c r="X67" s="12" t="n">
        <v>228</v>
      </c>
    </row>
    <row r="68" ht="20" customHeight="1">
      <c r="A68" s="47" t="n">
        <v>67</v>
      </c>
      <c r="B68" s="3" t="inlineStr">
        <is>
          <t>Sarangdev</t>
        </is>
      </c>
      <c r="C68" s="3" t="inlineStr">
        <is>
          <t>ਸਾਰੰਗਦੇਵ</t>
        </is>
      </c>
      <c r="D68" s="7" t="inlineStr">
        <is>
          <t>AAP</t>
        </is>
      </c>
      <c r="E68" s="5" t="n">
        <v>18</v>
      </c>
      <c r="F68" s="7" t="inlineStr">
        <is>
          <t>BJP</t>
        </is>
      </c>
      <c r="G68" s="5" t="n">
        <v>80</v>
      </c>
      <c r="H68" s="37" t="inlineStr">
        <is>
          <t>AAP → BJP</t>
        </is>
      </c>
      <c r="I68" s="5" t="n">
        <v>190</v>
      </c>
      <c r="J68" s="5" t="n">
        <v>242</v>
      </c>
      <c r="K68" s="5" t="n">
        <v>224</v>
      </c>
      <c r="L68" s="5" t="n">
        <v>3</v>
      </c>
      <c r="M68" s="5" t="n">
        <v>692</v>
      </c>
      <c r="N68" s="5" t="n">
        <v>142</v>
      </c>
      <c r="O68" s="5" t="n">
        <v>82</v>
      </c>
      <c r="P68" s="5" t="n">
        <v>109</v>
      </c>
      <c r="Q68" s="5" t="n">
        <v>222</v>
      </c>
      <c r="R68" s="5" t="n">
        <v>634</v>
      </c>
      <c r="S68" s="5" t="n">
        <v>-58</v>
      </c>
      <c r="T68" s="8" t="n">
        <v>-0.08380000000000001</v>
      </c>
      <c r="U68" s="5" t="n">
        <v>-48</v>
      </c>
      <c r="V68" s="5" t="n">
        <v>-160</v>
      </c>
      <c r="W68" s="5" t="n">
        <v>-115</v>
      </c>
      <c r="X68" s="5" t="n">
        <v>219</v>
      </c>
    </row>
    <row r="69" ht="20" customHeight="1">
      <c r="A69" s="44" t="n">
        <v>68</v>
      </c>
      <c r="B69" s="10" t="inlineStr">
        <is>
          <t>Sarangdev</t>
        </is>
      </c>
      <c r="C69" s="10" t="inlineStr">
        <is>
          <t>ਸਾਰੰਗਦੇਵ</t>
        </is>
      </c>
      <c r="D69" s="14" t="inlineStr">
        <is>
          <t>AAP</t>
        </is>
      </c>
      <c r="E69" s="12" t="n">
        <v>60</v>
      </c>
      <c r="F69" s="14" t="inlineStr">
        <is>
          <t>AAP</t>
        </is>
      </c>
      <c r="G69" s="12" t="n">
        <v>9</v>
      </c>
      <c r="H69" s="32" t="inlineStr">
        <is>
          <t>Retained AAP</t>
        </is>
      </c>
      <c r="I69" s="12" t="n">
        <v>97</v>
      </c>
      <c r="J69" s="12" t="n">
        <v>160</v>
      </c>
      <c r="K69" s="12" t="n">
        <v>100</v>
      </c>
      <c r="L69" s="12" t="n">
        <v>0</v>
      </c>
      <c r="M69" s="12" t="n">
        <v>371</v>
      </c>
      <c r="N69" s="12" t="n">
        <v>96</v>
      </c>
      <c r="O69" s="12" t="n">
        <v>105</v>
      </c>
      <c r="P69" s="12" t="n">
        <v>13</v>
      </c>
      <c r="Q69" s="12" t="n">
        <v>91</v>
      </c>
      <c r="R69" s="12" t="n">
        <v>329</v>
      </c>
      <c r="S69" s="12" t="n">
        <v>-42</v>
      </c>
      <c r="T69" s="15" t="n">
        <v>-0.1132</v>
      </c>
      <c r="U69" s="12" t="n">
        <v>-1</v>
      </c>
      <c r="V69" s="12" t="n">
        <v>-55</v>
      </c>
      <c r="W69" s="12" t="n">
        <v>-87</v>
      </c>
      <c r="X69" s="12" t="n">
        <v>91</v>
      </c>
    </row>
    <row r="70" ht="20" customHeight="1">
      <c r="A70" s="47" t="n">
        <v>69</v>
      </c>
      <c r="B70" s="3" t="inlineStr">
        <is>
          <t>Basti Dabar</t>
        </is>
      </c>
      <c r="C70" s="3" t="inlineStr">
        <is>
          <t>ਬਸਤੀ ਡਬਰ</t>
        </is>
      </c>
      <c r="D70" s="7" t="inlineStr">
        <is>
          <t>SAD</t>
        </is>
      </c>
      <c r="E70" s="5" t="n">
        <v>23</v>
      </c>
      <c r="F70" s="7" t="inlineStr">
        <is>
          <t>INC</t>
        </is>
      </c>
      <c r="G70" s="5" t="n">
        <v>22</v>
      </c>
      <c r="H70" s="37" t="inlineStr">
        <is>
          <t>SAD → INC</t>
        </is>
      </c>
      <c r="I70" s="5" t="n">
        <v>138</v>
      </c>
      <c r="J70" s="5" t="n">
        <v>92</v>
      </c>
      <c r="K70" s="5" t="n">
        <v>161</v>
      </c>
      <c r="L70" s="5" t="n">
        <v>1</v>
      </c>
      <c r="M70" s="5" t="n">
        <v>407</v>
      </c>
      <c r="N70" s="5" t="n">
        <v>129</v>
      </c>
      <c r="O70" s="5" t="n">
        <v>107</v>
      </c>
      <c r="P70" s="5" t="n">
        <v>25</v>
      </c>
      <c r="Q70" s="5" t="n">
        <v>66</v>
      </c>
      <c r="R70" s="5" t="n">
        <v>353</v>
      </c>
      <c r="S70" s="5" t="n">
        <v>-54</v>
      </c>
      <c r="T70" s="8" t="n">
        <v>-0.1327</v>
      </c>
      <c r="U70" s="5" t="n">
        <v>-9</v>
      </c>
      <c r="V70" s="5" t="n">
        <v>15</v>
      </c>
      <c r="W70" s="5" t="n">
        <v>-136</v>
      </c>
      <c r="X70" s="5" t="n">
        <v>65</v>
      </c>
    </row>
    <row r="71" ht="20" customHeight="1">
      <c r="A71" s="44" t="n">
        <v>70</v>
      </c>
      <c r="B71" s="10" t="inlineStr">
        <is>
          <t>Granthgarh</t>
        </is>
      </c>
      <c r="C71" s="10" t="inlineStr">
        <is>
          <t>ਗ੍ਰੰਥਗੜ੍ਹ</t>
        </is>
      </c>
      <c r="D71" s="14" t="inlineStr">
        <is>
          <t>SAD</t>
        </is>
      </c>
      <c r="E71" s="12" t="n">
        <v>59</v>
      </c>
      <c r="F71" s="14" t="inlineStr">
        <is>
          <t>INC</t>
        </is>
      </c>
      <c r="G71" s="12" t="n">
        <v>6</v>
      </c>
      <c r="H71" s="37" t="inlineStr">
        <is>
          <t>SAD → INC</t>
        </is>
      </c>
      <c r="I71" s="12" t="n">
        <v>90</v>
      </c>
      <c r="J71" s="12" t="n">
        <v>86</v>
      </c>
      <c r="K71" s="12" t="n">
        <v>149</v>
      </c>
      <c r="L71" s="12" t="n">
        <v>1</v>
      </c>
      <c r="M71" s="12" t="n">
        <v>344</v>
      </c>
      <c r="N71" s="12" t="n">
        <v>109</v>
      </c>
      <c r="O71" s="12" t="n">
        <v>103</v>
      </c>
      <c r="P71" s="12" t="n">
        <v>60</v>
      </c>
      <c r="Q71" s="12" t="n">
        <v>38</v>
      </c>
      <c r="R71" s="12" t="n">
        <v>341</v>
      </c>
      <c r="S71" s="12" t="n">
        <v>-3</v>
      </c>
      <c r="T71" s="15" t="n">
        <v>-0.87</v>
      </c>
      <c r="U71" s="12" t="n">
        <v>19</v>
      </c>
      <c r="V71" s="12" t="n">
        <v>17</v>
      </c>
      <c r="W71" s="12" t="n">
        <v>-89</v>
      </c>
      <c r="X71" s="12" t="n">
        <v>37</v>
      </c>
    </row>
    <row r="72" ht="20" customHeight="1">
      <c r="A72" s="47" t="n">
        <v>71</v>
      </c>
      <c r="B72" s="3" t="inlineStr">
        <is>
          <t>Chakk Dogra</t>
        </is>
      </c>
      <c r="C72" s="3" t="inlineStr">
        <is>
          <t>ਚੱਕ ਡੋਗਰਾ</t>
        </is>
      </c>
      <c r="D72" s="7" t="inlineStr">
        <is>
          <t>AAP</t>
        </is>
      </c>
      <c r="E72" s="5" t="n">
        <v>185</v>
      </c>
      <c r="F72" s="7" t="inlineStr">
        <is>
          <t>SAD</t>
        </is>
      </c>
      <c r="G72" s="5" t="n">
        <v>227</v>
      </c>
      <c r="H72" s="37" t="inlineStr">
        <is>
          <t>AAP → SAD</t>
        </is>
      </c>
      <c r="I72" s="5" t="n">
        <v>129</v>
      </c>
      <c r="J72" s="5" t="n">
        <v>390</v>
      </c>
      <c r="K72" s="5" t="n">
        <v>205</v>
      </c>
      <c r="L72" s="5" t="n">
        <v>5</v>
      </c>
      <c r="M72" s="5" t="n">
        <v>778</v>
      </c>
      <c r="N72" s="5" t="n">
        <v>135</v>
      </c>
      <c r="O72" s="5" t="n">
        <v>74</v>
      </c>
      <c r="P72" s="5" t="n">
        <v>362</v>
      </c>
      <c r="Q72" s="5" t="n">
        <v>124</v>
      </c>
      <c r="R72" s="5" t="n">
        <v>785</v>
      </c>
      <c r="S72" s="5" t="n">
        <v>7</v>
      </c>
      <c r="T72" s="8" t="n">
        <v>0.9</v>
      </c>
      <c r="U72" s="5" t="n">
        <v>6</v>
      </c>
      <c r="V72" s="5" t="n">
        <v>-316</v>
      </c>
      <c r="W72" s="5" t="n">
        <v>157</v>
      </c>
      <c r="X72" s="5" t="n">
        <v>119</v>
      </c>
    </row>
    <row r="73" ht="20" customHeight="1">
      <c r="A73" s="44" t="n">
        <v>72</v>
      </c>
      <c r="B73" s="10" t="inlineStr">
        <is>
          <t>Chakk Dogra</t>
        </is>
      </c>
      <c r="C73" s="10" t="inlineStr">
        <is>
          <t>ਚੱਕ ਡੋਗਰਾ</t>
        </is>
      </c>
      <c r="D73" s="14" t="inlineStr">
        <is>
          <t>AAP</t>
        </is>
      </c>
      <c r="E73" s="12" t="n">
        <v>22</v>
      </c>
      <c r="F73" s="14" t="inlineStr">
        <is>
          <t>BJP</t>
        </is>
      </c>
      <c r="G73" s="12" t="n">
        <v>70</v>
      </c>
      <c r="H73" s="37" t="inlineStr">
        <is>
          <t>AAP → BJP</t>
        </is>
      </c>
      <c r="I73" s="12" t="n">
        <v>94</v>
      </c>
      <c r="J73" s="12" t="n">
        <v>281</v>
      </c>
      <c r="K73" s="12" t="n">
        <v>259</v>
      </c>
      <c r="L73" s="12" t="n">
        <v>0</v>
      </c>
      <c r="M73" s="12" t="n">
        <v>663</v>
      </c>
      <c r="N73" s="12" t="n">
        <v>130</v>
      </c>
      <c r="O73" s="12" t="n">
        <v>52</v>
      </c>
      <c r="P73" s="12" t="n">
        <v>102</v>
      </c>
      <c r="Q73" s="12" t="n">
        <v>200</v>
      </c>
      <c r="R73" s="12" t="n">
        <v>590</v>
      </c>
      <c r="S73" s="12" t="n">
        <v>-73</v>
      </c>
      <c r="T73" s="15" t="n">
        <v>-0.1101</v>
      </c>
      <c r="U73" s="12" t="n">
        <v>36</v>
      </c>
      <c r="V73" s="12" t="n">
        <v>-229</v>
      </c>
      <c r="W73" s="12" t="n">
        <v>-157</v>
      </c>
      <c r="X73" s="12" t="n">
        <v>200</v>
      </c>
    </row>
    <row r="74" ht="20" customHeight="1">
      <c r="A74" s="47" t="n">
        <v>73</v>
      </c>
      <c r="B74" s="3" t="inlineStr">
        <is>
          <t>Lakhuwal</t>
        </is>
      </c>
      <c r="C74" s="3" t="inlineStr">
        <is>
          <t>ਲਖੂਵਾਲ</t>
        </is>
      </c>
      <c r="D74" s="7" t="inlineStr">
        <is>
          <t>INC</t>
        </is>
      </c>
      <c r="E74" s="5" t="n">
        <v>7</v>
      </c>
      <c r="F74" s="7" t="inlineStr">
        <is>
          <t>AAP</t>
        </is>
      </c>
      <c r="G74" s="5" t="n">
        <v>1</v>
      </c>
      <c r="H74" s="37" t="inlineStr">
        <is>
          <t>INC → AAP</t>
        </is>
      </c>
      <c r="I74" s="5" t="n">
        <v>262</v>
      </c>
      <c r="J74" s="5" t="n">
        <v>49</v>
      </c>
      <c r="K74" s="5" t="n">
        <v>255</v>
      </c>
      <c r="L74" s="5" t="n">
        <v>0</v>
      </c>
      <c r="M74" s="5" t="n">
        <v>597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1</v>
      </c>
      <c r="S74" s="5" t="n">
        <v>-596</v>
      </c>
      <c r="T74" s="8" t="n">
        <v>-0.9983</v>
      </c>
      <c r="U74" s="5" t="n">
        <v>-262</v>
      </c>
      <c r="V74" s="5" t="n">
        <v>-48</v>
      </c>
      <c r="W74" s="5" t="n">
        <v>-255</v>
      </c>
      <c r="X74" s="5" t="n">
        <v>0</v>
      </c>
    </row>
    <row r="75" ht="20" customHeight="1">
      <c r="A75" s="44" t="n">
        <v>74</v>
      </c>
      <c r="B75" s="10" t="inlineStr">
        <is>
          <t>Lakhuwal</t>
        </is>
      </c>
      <c r="C75" s="10" t="inlineStr">
        <is>
          <t>ਲਖੂਵਾਲ</t>
        </is>
      </c>
      <c r="D75" s="14" t="inlineStr">
        <is>
          <t>SAD</t>
        </is>
      </c>
      <c r="E75" s="12" t="n">
        <v>13</v>
      </c>
      <c r="F75" s="14" t="inlineStr">
        <is>
          <t>AAP</t>
        </is>
      </c>
      <c r="G75" s="12" t="n">
        <v>0</v>
      </c>
      <c r="H75" s="37" t="inlineStr">
        <is>
          <t>SAD → AAP</t>
        </is>
      </c>
      <c r="I75" s="12" t="n">
        <v>139</v>
      </c>
      <c r="J75" s="12" t="n">
        <v>133</v>
      </c>
      <c r="K75" s="12" t="n">
        <v>152</v>
      </c>
      <c r="L75" s="12" t="n">
        <v>0</v>
      </c>
      <c r="M75" s="12" t="n">
        <v>439</v>
      </c>
      <c r="N75" s="12" t="n">
        <v>0</v>
      </c>
      <c r="O75" s="12" t="n">
        <v>1</v>
      </c>
      <c r="P75" s="12" t="n">
        <v>0</v>
      </c>
      <c r="Q75" s="12" t="n">
        <v>1</v>
      </c>
      <c r="R75" s="12" t="n">
        <v>2</v>
      </c>
      <c r="S75" s="12" t="n">
        <v>-437</v>
      </c>
      <c r="T75" s="15" t="n">
        <v>-0.9954000000000001</v>
      </c>
      <c r="U75" s="12" t="n">
        <v>-139</v>
      </c>
      <c r="V75" s="12" t="n">
        <v>-132</v>
      </c>
      <c r="W75" s="12" t="n">
        <v>-152</v>
      </c>
      <c r="X75" s="12" t="n">
        <v>1</v>
      </c>
    </row>
    <row r="76" ht="20" customHeight="1">
      <c r="A76" s="47" t="n">
        <v>75</v>
      </c>
      <c r="B76" s="3" t="inlineStr">
        <is>
          <t>Ajnala (Ward 1)</t>
        </is>
      </c>
      <c r="C76" s="3" t="inlineStr">
        <is>
          <t>ਅਜਨਾਲਾ (ਵਾਰਡ 1)</t>
        </is>
      </c>
      <c r="D76" s="7" t="inlineStr">
        <is>
          <t>SAD</t>
        </is>
      </c>
      <c r="E76" s="5" t="n">
        <v>7</v>
      </c>
      <c r="F76" s="7" t="inlineStr">
        <is>
          <t>INC</t>
        </is>
      </c>
      <c r="G76" s="5" t="n">
        <v>74</v>
      </c>
      <c r="H76" s="37" t="inlineStr">
        <is>
          <t>SAD → INC</t>
        </is>
      </c>
      <c r="I76" s="5" t="n">
        <v>195</v>
      </c>
      <c r="J76" s="5" t="n">
        <v>129</v>
      </c>
      <c r="K76" s="5" t="n">
        <v>202</v>
      </c>
      <c r="L76" s="5" t="n">
        <v>1</v>
      </c>
      <c r="M76" s="5" t="n">
        <v>556</v>
      </c>
      <c r="N76" s="5" t="n">
        <v>234</v>
      </c>
      <c r="O76" s="5" t="n">
        <v>160</v>
      </c>
      <c r="P76" s="5" t="n">
        <v>20</v>
      </c>
      <c r="Q76" s="5" t="n">
        <v>90</v>
      </c>
      <c r="R76" s="5" t="n">
        <v>545</v>
      </c>
      <c r="S76" s="5" t="n">
        <v>-11</v>
      </c>
      <c r="T76" s="8" t="n">
        <v>-0.0198</v>
      </c>
      <c r="U76" s="5" t="n">
        <v>39</v>
      </c>
      <c r="V76" s="5" t="n">
        <v>31</v>
      </c>
      <c r="W76" s="5" t="n">
        <v>-182</v>
      </c>
      <c r="X76" s="5" t="n">
        <v>89</v>
      </c>
    </row>
    <row r="77" ht="20" customHeight="1">
      <c r="A77" s="44" t="n">
        <v>76</v>
      </c>
      <c r="B77" s="10" t="inlineStr">
        <is>
          <t>Ajnala (Ward 2)</t>
        </is>
      </c>
      <c r="C77" s="10" t="inlineStr">
        <is>
          <t>ਅਜਨਾਲਾ (ਵਾਰਡ 2)</t>
        </is>
      </c>
      <c r="D77" s="14" t="inlineStr">
        <is>
          <t>SAD</t>
        </is>
      </c>
      <c r="E77" s="12" t="n">
        <v>41</v>
      </c>
      <c r="F77" s="14" t="inlineStr">
        <is>
          <t>AAP</t>
        </is>
      </c>
      <c r="G77" s="12" t="n">
        <v>73</v>
      </c>
      <c r="H77" s="37" t="inlineStr">
        <is>
          <t>SAD → AAP</t>
        </is>
      </c>
      <c r="I77" s="12" t="n">
        <v>130</v>
      </c>
      <c r="J77" s="12" t="n">
        <v>142</v>
      </c>
      <c r="K77" s="12" t="n">
        <v>183</v>
      </c>
      <c r="L77" s="12" t="n">
        <v>3</v>
      </c>
      <c r="M77" s="12" t="n">
        <v>490</v>
      </c>
      <c r="N77" s="12" t="n">
        <v>133</v>
      </c>
      <c r="O77" s="12" t="n">
        <v>206</v>
      </c>
      <c r="P77" s="12" t="n">
        <v>18</v>
      </c>
      <c r="Q77" s="12" t="n">
        <v>54</v>
      </c>
      <c r="R77" s="12" t="n">
        <v>429</v>
      </c>
      <c r="S77" s="12" t="n">
        <v>-61</v>
      </c>
      <c r="T77" s="15" t="n">
        <v>-0.1245</v>
      </c>
      <c r="U77" s="12" t="n">
        <v>3</v>
      </c>
      <c r="V77" s="12" t="n">
        <v>64</v>
      </c>
      <c r="W77" s="12" t="n">
        <v>-165</v>
      </c>
      <c r="X77" s="12" t="n">
        <v>51</v>
      </c>
    </row>
    <row r="78" ht="20" customHeight="1">
      <c r="A78" s="47" t="n">
        <v>77</v>
      </c>
      <c r="B78" s="3" t="inlineStr">
        <is>
          <t>Ajnala (Ward 3)</t>
        </is>
      </c>
      <c r="C78" s="3" t="inlineStr">
        <is>
          <t>ਅਜਨਾਲਾ (ਵਾਰਡ 3)</t>
        </is>
      </c>
      <c r="D78" s="7" t="inlineStr">
        <is>
          <t>SAD</t>
        </is>
      </c>
      <c r="E78" s="5" t="n">
        <v>145</v>
      </c>
      <c r="F78" s="7" t="inlineStr">
        <is>
          <t>BJP</t>
        </is>
      </c>
      <c r="G78" s="5" t="n">
        <v>358</v>
      </c>
      <c r="H78" s="37" t="inlineStr">
        <is>
          <t>SAD → BJP</t>
        </is>
      </c>
      <c r="I78" s="5" t="n">
        <v>175</v>
      </c>
      <c r="J78" s="5" t="n">
        <v>205</v>
      </c>
      <c r="K78" s="5" t="n">
        <v>350</v>
      </c>
      <c r="L78" s="5" t="n">
        <v>8</v>
      </c>
      <c r="M78" s="5" t="n">
        <v>747</v>
      </c>
      <c r="N78" s="5" t="n">
        <v>100</v>
      </c>
      <c r="O78" s="5" t="n">
        <v>91</v>
      </c>
      <c r="P78" s="5" t="n">
        <v>28</v>
      </c>
      <c r="Q78" s="5" t="n">
        <v>458</v>
      </c>
      <c r="R78" s="5" t="n">
        <v>698</v>
      </c>
      <c r="S78" s="5" t="n">
        <v>-49</v>
      </c>
      <c r="T78" s="8" t="n">
        <v>-0.06559999999999999</v>
      </c>
      <c r="U78" s="5" t="n">
        <v>-75</v>
      </c>
      <c r="V78" s="5" t="n">
        <v>-114</v>
      </c>
      <c r="W78" s="5" t="n">
        <v>-322</v>
      </c>
      <c r="X78" s="5" t="n">
        <v>450</v>
      </c>
    </row>
    <row r="79" ht="20" customHeight="1">
      <c r="A79" s="44" t="n">
        <v>78</v>
      </c>
      <c r="B79" s="10" t="inlineStr">
        <is>
          <t>Ajnala (Ward 4)</t>
        </is>
      </c>
      <c r="C79" s="10" t="inlineStr">
        <is>
          <t>ਅਜਨਾਲਾ (ਵਾਰਡ 4)</t>
        </is>
      </c>
      <c r="D79" s="14" t="inlineStr">
        <is>
          <t>AAP</t>
        </is>
      </c>
      <c r="E79" s="12" t="n">
        <v>32</v>
      </c>
      <c r="F79" s="14" t="inlineStr">
        <is>
          <t>INC</t>
        </is>
      </c>
      <c r="G79" s="12" t="n">
        <v>9</v>
      </c>
      <c r="H79" s="37" t="inlineStr">
        <is>
          <t>AAP → INC</t>
        </is>
      </c>
      <c r="I79" s="12" t="n">
        <v>155</v>
      </c>
      <c r="J79" s="12" t="n">
        <v>351</v>
      </c>
      <c r="K79" s="12" t="n">
        <v>319</v>
      </c>
      <c r="L79" s="12" t="n">
        <v>5</v>
      </c>
      <c r="M79" s="12" t="n">
        <v>869</v>
      </c>
      <c r="N79" s="12" t="n">
        <v>191</v>
      </c>
      <c r="O79" s="12" t="n">
        <v>182</v>
      </c>
      <c r="P79" s="12" t="n">
        <v>153</v>
      </c>
      <c r="Q79" s="12" t="n">
        <v>165</v>
      </c>
      <c r="R79" s="12" t="n">
        <v>764</v>
      </c>
      <c r="S79" s="12" t="n">
        <v>-105</v>
      </c>
      <c r="T79" s="15" t="n">
        <v>-0.1208</v>
      </c>
      <c r="U79" s="12" t="n">
        <v>36</v>
      </c>
      <c r="V79" s="12" t="n">
        <v>-169</v>
      </c>
      <c r="W79" s="12" t="n">
        <v>-166</v>
      </c>
      <c r="X79" s="12" t="n">
        <v>160</v>
      </c>
    </row>
    <row r="80" ht="20" customHeight="1">
      <c r="A80" s="47" t="n">
        <v>79</v>
      </c>
      <c r="B80" s="3" t="inlineStr">
        <is>
          <t>Ajnala (Ward 5)</t>
        </is>
      </c>
      <c r="C80" s="3" t="inlineStr">
        <is>
          <t>ਅਜਨਾਲਾ (ਵਾਰਡ 5)</t>
        </is>
      </c>
      <c r="D80" s="7" t="inlineStr">
        <is>
          <t>SAD</t>
        </is>
      </c>
      <c r="E80" s="5" t="n">
        <v>45</v>
      </c>
      <c r="F80" s="7" t="inlineStr">
        <is>
          <t>BJP</t>
        </is>
      </c>
      <c r="G80" s="5" t="n">
        <v>117</v>
      </c>
      <c r="H80" s="37" t="inlineStr">
        <is>
          <t>SAD → BJP</t>
        </is>
      </c>
      <c r="I80" s="5" t="n">
        <v>203</v>
      </c>
      <c r="J80" s="5" t="n">
        <v>220</v>
      </c>
      <c r="K80" s="5" t="n">
        <v>265</v>
      </c>
      <c r="L80" s="5" t="n">
        <v>12</v>
      </c>
      <c r="M80" s="5" t="n">
        <v>715</v>
      </c>
      <c r="N80" s="5" t="n">
        <v>114</v>
      </c>
      <c r="O80" s="5" t="n">
        <v>184</v>
      </c>
      <c r="P80" s="5" t="n">
        <v>33</v>
      </c>
      <c r="Q80" s="5" t="n">
        <v>301</v>
      </c>
      <c r="R80" s="5" t="n">
        <v>675</v>
      </c>
      <c r="S80" s="5" t="n">
        <v>-40</v>
      </c>
      <c r="T80" s="8" t="n">
        <v>-0.0559</v>
      </c>
      <c r="U80" s="5" t="n">
        <v>-89</v>
      </c>
      <c r="V80" s="5" t="n">
        <v>-36</v>
      </c>
      <c r="W80" s="5" t="n">
        <v>-232</v>
      </c>
      <c r="X80" s="5" t="n">
        <v>289</v>
      </c>
    </row>
    <row r="81" ht="20" customHeight="1">
      <c r="A81" s="44" t="n">
        <v>80</v>
      </c>
      <c r="B81" s="10" t="inlineStr">
        <is>
          <t>Ajnala (Ward 6)</t>
        </is>
      </c>
      <c r="C81" s="10" t="inlineStr">
        <is>
          <t>ਅਜਨਾਲਾ (ਵਾਰਡ 6)</t>
        </is>
      </c>
      <c r="D81" s="14" t="inlineStr">
        <is>
          <t>SAD</t>
        </is>
      </c>
      <c r="E81" s="12" t="n">
        <v>176</v>
      </c>
      <c r="F81" s="14" t="inlineStr">
        <is>
          <t>BJP</t>
        </is>
      </c>
      <c r="G81" s="12" t="n">
        <v>227</v>
      </c>
      <c r="H81" s="37" t="inlineStr">
        <is>
          <t>SAD → BJP</t>
        </is>
      </c>
      <c r="I81" s="12" t="n">
        <v>217</v>
      </c>
      <c r="J81" s="12" t="n">
        <v>221</v>
      </c>
      <c r="K81" s="12" t="n">
        <v>397</v>
      </c>
      <c r="L81" s="12" t="n">
        <v>3</v>
      </c>
      <c r="M81" s="12" t="n">
        <v>853</v>
      </c>
      <c r="N81" s="12" t="n">
        <v>140</v>
      </c>
      <c r="O81" s="12" t="n">
        <v>161</v>
      </c>
      <c r="P81" s="12" t="n">
        <v>28</v>
      </c>
      <c r="Q81" s="12" t="n">
        <v>388</v>
      </c>
      <c r="R81" s="12" t="n">
        <v>732</v>
      </c>
      <c r="S81" s="12" t="n">
        <v>-121</v>
      </c>
      <c r="T81" s="15" t="n">
        <v>-0.1419</v>
      </c>
      <c r="U81" s="12" t="n">
        <v>-77</v>
      </c>
      <c r="V81" s="12" t="n">
        <v>-60</v>
      </c>
      <c r="W81" s="12" t="n">
        <v>-369</v>
      </c>
      <c r="X81" s="12" t="n">
        <v>385</v>
      </c>
    </row>
    <row r="82" ht="20" customHeight="1">
      <c r="A82" s="47" t="n">
        <v>81</v>
      </c>
      <c r="B82" s="3" t="inlineStr">
        <is>
          <t>Ajnala (Ward 7)</t>
        </is>
      </c>
      <c r="C82" s="3" t="inlineStr">
        <is>
          <t>ਅਜਨਾਲਾ (ਵਾਰਡ 7)</t>
        </is>
      </c>
      <c r="D82" s="7" t="inlineStr">
        <is>
          <t>SAD</t>
        </is>
      </c>
      <c r="E82" s="5" t="n">
        <v>59</v>
      </c>
      <c r="F82" s="7" t="inlineStr">
        <is>
          <t>BJP</t>
        </is>
      </c>
      <c r="G82" s="5" t="n">
        <v>74</v>
      </c>
      <c r="H82" s="37" t="inlineStr">
        <is>
          <t>SAD → BJP</t>
        </is>
      </c>
      <c r="I82" s="5" t="n">
        <v>187</v>
      </c>
      <c r="J82" s="5" t="n">
        <v>206</v>
      </c>
      <c r="K82" s="5" t="n">
        <v>265</v>
      </c>
      <c r="L82" s="5" t="n">
        <v>3</v>
      </c>
      <c r="M82" s="5" t="n">
        <v>674</v>
      </c>
      <c r="N82" s="5" t="n">
        <v>115</v>
      </c>
      <c r="O82" s="5" t="n">
        <v>204</v>
      </c>
      <c r="P82" s="5" t="n">
        <v>10</v>
      </c>
      <c r="Q82" s="5" t="n">
        <v>278</v>
      </c>
      <c r="R82" s="5" t="n">
        <v>622</v>
      </c>
      <c r="S82" s="5" t="n">
        <v>-52</v>
      </c>
      <c r="T82" s="8" t="n">
        <v>-0.07719999999999999</v>
      </c>
      <c r="U82" s="5" t="n">
        <v>-72</v>
      </c>
      <c r="V82" s="5" t="n">
        <v>-2</v>
      </c>
      <c r="W82" s="5" t="n">
        <v>-255</v>
      </c>
      <c r="X82" s="5" t="n">
        <v>275</v>
      </c>
    </row>
    <row r="83" ht="20" customHeight="1">
      <c r="A83" s="44" t="n">
        <v>82</v>
      </c>
      <c r="B83" s="10" t="inlineStr">
        <is>
          <t>Ajnala (Ward 8)</t>
        </is>
      </c>
      <c r="C83" s="10" t="inlineStr">
        <is>
          <t>ਅਜਨਾਲਾ (ਵਾਰਡ 8)</t>
        </is>
      </c>
      <c r="D83" s="14" t="inlineStr">
        <is>
          <t>INC</t>
        </is>
      </c>
      <c r="E83" s="12" t="n">
        <v>90</v>
      </c>
      <c r="F83" s="14" t="inlineStr">
        <is>
          <t>INC</t>
        </is>
      </c>
      <c r="G83" s="12" t="n">
        <v>78</v>
      </c>
      <c r="H83" s="32" t="inlineStr">
        <is>
          <t>Retained INC</t>
        </is>
      </c>
      <c r="I83" s="12" t="n">
        <v>314</v>
      </c>
      <c r="J83" s="12" t="n">
        <v>194</v>
      </c>
      <c r="K83" s="12" t="n">
        <v>224</v>
      </c>
      <c r="L83" s="12" t="n">
        <v>3</v>
      </c>
      <c r="M83" s="12" t="n">
        <v>771</v>
      </c>
      <c r="N83" s="12" t="n">
        <v>311</v>
      </c>
      <c r="O83" s="12" t="n">
        <v>233</v>
      </c>
      <c r="P83" s="12" t="n">
        <v>21</v>
      </c>
      <c r="Q83" s="12" t="n">
        <v>140</v>
      </c>
      <c r="R83" s="12" t="n">
        <v>738</v>
      </c>
      <c r="S83" s="12" t="n">
        <v>-33</v>
      </c>
      <c r="T83" s="15" t="n">
        <v>-0.0428</v>
      </c>
      <c r="U83" s="12" t="n">
        <v>-3</v>
      </c>
      <c r="V83" s="12" t="n">
        <v>39</v>
      </c>
      <c r="W83" s="12" t="n">
        <v>-203</v>
      </c>
      <c r="X83" s="12" t="n">
        <v>137</v>
      </c>
    </row>
    <row r="84" ht="20" customHeight="1">
      <c r="A84" s="47" t="n">
        <v>83</v>
      </c>
      <c r="B84" s="3" t="inlineStr">
        <is>
          <t>Ajnala (Ward 9)</t>
        </is>
      </c>
      <c r="C84" s="3" t="inlineStr">
        <is>
          <t>ਅਜਨਾਲਾ (ਵਾਰਡ 9)</t>
        </is>
      </c>
      <c r="D84" s="7" t="inlineStr">
        <is>
          <t>AAP</t>
        </is>
      </c>
      <c r="E84" s="5" t="n">
        <v>19</v>
      </c>
      <c r="F84" s="7" t="inlineStr">
        <is>
          <t>AAP</t>
        </is>
      </c>
      <c r="G84" s="5" t="n">
        <v>89</v>
      </c>
      <c r="H84" s="32" t="inlineStr">
        <is>
          <t>Retained AAP</t>
        </is>
      </c>
      <c r="I84" s="5" t="n">
        <v>160</v>
      </c>
      <c r="J84" s="5" t="n">
        <v>211</v>
      </c>
      <c r="K84" s="5" t="n">
        <v>192</v>
      </c>
      <c r="L84" s="5" t="n">
        <v>7</v>
      </c>
      <c r="M84" s="5" t="n">
        <v>600</v>
      </c>
      <c r="N84" s="5" t="n">
        <v>109</v>
      </c>
      <c r="O84" s="5" t="n">
        <v>255</v>
      </c>
      <c r="P84" s="5" t="n">
        <v>76</v>
      </c>
      <c r="Q84" s="5" t="n">
        <v>166</v>
      </c>
      <c r="R84" s="5" t="n">
        <v>637</v>
      </c>
      <c r="S84" s="5" t="n">
        <v>37</v>
      </c>
      <c r="T84" s="8" t="n">
        <v>0.0617</v>
      </c>
      <c r="U84" s="5" t="n">
        <v>-51</v>
      </c>
      <c r="V84" s="5" t="n">
        <v>44</v>
      </c>
      <c r="W84" s="5" t="n">
        <v>-116</v>
      </c>
      <c r="X84" s="5" t="n">
        <v>159</v>
      </c>
    </row>
    <row r="85" ht="20" customHeight="1">
      <c r="A85" s="44" t="n">
        <v>84</v>
      </c>
      <c r="B85" s="10" t="inlineStr">
        <is>
          <t>Ajnala (Ward 10)</t>
        </is>
      </c>
      <c r="C85" s="10" t="inlineStr">
        <is>
          <t>ਅਜਨਾਲਾ (ਵਾਰਡ 10)</t>
        </is>
      </c>
      <c r="D85" s="14" t="inlineStr">
        <is>
          <t>AAP</t>
        </is>
      </c>
      <c r="E85" s="12" t="n">
        <v>207</v>
      </c>
      <c r="F85" s="14" t="inlineStr">
        <is>
          <t>AAP</t>
        </is>
      </c>
      <c r="G85" s="12" t="n">
        <v>65</v>
      </c>
      <c r="H85" s="32" t="inlineStr">
        <is>
          <t>Retained AAP</t>
        </is>
      </c>
      <c r="I85" s="12" t="n">
        <v>161</v>
      </c>
      <c r="J85" s="12" t="n">
        <v>413</v>
      </c>
      <c r="K85" s="12" t="n">
        <v>206</v>
      </c>
      <c r="L85" s="12" t="n">
        <v>2</v>
      </c>
      <c r="M85" s="12" t="n">
        <v>852</v>
      </c>
      <c r="N85" s="12" t="n">
        <v>177</v>
      </c>
      <c r="O85" s="12" t="n">
        <v>242</v>
      </c>
      <c r="P85" s="12" t="n">
        <v>73</v>
      </c>
      <c r="Q85" s="12" t="n">
        <v>127</v>
      </c>
      <c r="R85" s="12" t="n">
        <v>682</v>
      </c>
      <c r="S85" s="12" t="n">
        <v>-170</v>
      </c>
      <c r="T85" s="15" t="n">
        <v>-0.1995</v>
      </c>
      <c r="U85" s="12" t="n">
        <v>16</v>
      </c>
      <c r="V85" s="12" t="n">
        <v>-171</v>
      </c>
      <c r="W85" s="12" t="n">
        <v>-133</v>
      </c>
      <c r="X85" s="12" t="n">
        <v>125</v>
      </c>
    </row>
    <row r="86" ht="20" customHeight="1">
      <c r="A86" s="47" t="n">
        <v>85</v>
      </c>
      <c r="B86" s="3" t="inlineStr">
        <is>
          <t>Ajnala (Ward 11)</t>
        </is>
      </c>
      <c r="C86" s="3" t="inlineStr">
        <is>
          <t>ਅਜਨਾਲਾ (ਵਾਰਡ 11)</t>
        </is>
      </c>
      <c r="D86" s="7" t="inlineStr">
        <is>
          <t>SAD</t>
        </is>
      </c>
      <c r="E86" s="5" t="n">
        <v>55</v>
      </c>
      <c r="F86" s="7" t="inlineStr">
        <is>
          <t>AAP</t>
        </is>
      </c>
      <c r="G86" s="5" t="n">
        <v>51</v>
      </c>
      <c r="H86" s="37" t="inlineStr">
        <is>
          <t>SAD → AAP</t>
        </is>
      </c>
      <c r="I86" s="5" t="n">
        <v>134</v>
      </c>
      <c r="J86" s="5" t="n">
        <v>184</v>
      </c>
      <c r="K86" s="5" t="n">
        <v>239</v>
      </c>
      <c r="L86" s="5" t="n">
        <v>3</v>
      </c>
      <c r="M86" s="5" t="n">
        <v>650</v>
      </c>
      <c r="N86" s="5" t="n">
        <v>201</v>
      </c>
      <c r="O86" s="5" t="n">
        <v>252</v>
      </c>
      <c r="P86" s="5" t="n">
        <v>39</v>
      </c>
      <c r="Q86" s="5" t="n">
        <v>90</v>
      </c>
      <c r="R86" s="5" t="n">
        <v>611</v>
      </c>
      <c r="S86" s="5" t="n">
        <v>-39</v>
      </c>
      <c r="T86" s="8" t="n">
        <v>-0.06</v>
      </c>
      <c r="U86" s="5" t="n">
        <v>67</v>
      </c>
      <c r="V86" s="5" t="n">
        <v>68</v>
      </c>
      <c r="W86" s="5" t="n">
        <v>-200</v>
      </c>
      <c r="X86" s="5" t="n">
        <v>87</v>
      </c>
    </row>
    <row r="87" ht="20" customHeight="1">
      <c r="A87" s="44" t="n">
        <v>86</v>
      </c>
      <c r="B87" s="10" t="inlineStr">
        <is>
          <t>Ajnala (Ward 12)</t>
        </is>
      </c>
      <c r="C87" s="10" t="inlineStr">
        <is>
          <t>ਅਜਨਾਲਾ (ਵਾਰਡ 12)</t>
        </is>
      </c>
      <c r="D87" s="14" t="inlineStr">
        <is>
          <t>AAP</t>
        </is>
      </c>
      <c r="E87" s="12" t="n">
        <v>54</v>
      </c>
      <c r="F87" s="14" t="inlineStr">
        <is>
          <t>BJP</t>
        </is>
      </c>
      <c r="G87" s="12" t="n">
        <v>34</v>
      </c>
      <c r="H87" s="37" t="inlineStr">
        <is>
          <t>AAP → BJP</t>
        </is>
      </c>
      <c r="I87" s="12" t="n">
        <v>140</v>
      </c>
      <c r="J87" s="12" t="n">
        <v>201</v>
      </c>
      <c r="K87" s="12" t="n">
        <v>147</v>
      </c>
      <c r="L87" s="12" t="n">
        <v>7</v>
      </c>
      <c r="M87" s="12" t="n">
        <v>536</v>
      </c>
      <c r="N87" s="12" t="n">
        <v>127</v>
      </c>
      <c r="O87" s="12" t="n">
        <v>151</v>
      </c>
      <c r="P87" s="12" t="n">
        <v>12</v>
      </c>
      <c r="Q87" s="12" t="n">
        <v>185</v>
      </c>
      <c r="R87" s="12" t="n">
        <v>492</v>
      </c>
      <c r="S87" s="12" t="n">
        <v>-44</v>
      </c>
      <c r="T87" s="15" t="n">
        <v>-0.08210000000000001</v>
      </c>
      <c r="U87" s="12" t="n">
        <v>-13</v>
      </c>
      <c r="V87" s="12" t="n">
        <v>-50</v>
      </c>
      <c r="W87" s="12" t="n">
        <v>-135</v>
      </c>
      <c r="X87" s="12" t="n">
        <v>178</v>
      </c>
    </row>
    <row r="88" ht="20" customHeight="1">
      <c r="A88" s="47" t="n">
        <v>87</v>
      </c>
      <c r="B88" s="3" t="inlineStr">
        <is>
          <t>Ajnala (Ward 13)</t>
        </is>
      </c>
      <c r="C88" s="3" t="inlineStr">
        <is>
          <t>ਅਜਨਾਲਾ (ਵਾਰਡ 13)</t>
        </is>
      </c>
      <c r="D88" s="7" t="inlineStr">
        <is>
          <t>AAP</t>
        </is>
      </c>
      <c r="E88" s="5" t="n">
        <v>57</v>
      </c>
      <c r="F88" s="7" t="inlineStr">
        <is>
          <t>AAP</t>
        </is>
      </c>
      <c r="G88" s="5" t="n">
        <v>8</v>
      </c>
      <c r="H88" s="32" t="inlineStr">
        <is>
          <t>Retained AAP</t>
        </is>
      </c>
      <c r="I88" s="5" t="n">
        <v>62</v>
      </c>
      <c r="J88" s="5" t="n">
        <v>196</v>
      </c>
      <c r="K88" s="5" t="n">
        <v>139</v>
      </c>
      <c r="L88" s="5" t="n">
        <v>2</v>
      </c>
      <c r="M88" s="5" t="n">
        <v>413</v>
      </c>
      <c r="N88" s="5" t="n">
        <v>68</v>
      </c>
      <c r="O88" s="5" t="n">
        <v>120</v>
      </c>
      <c r="P88" s="5" t="n">
        <v>44</v>
      </c>
      <c r="Q88" s="5" t="n">
        <v>112</v>
      </c>
      <c r="R88" s="5" t="n">
        <v>361</v>
      </c>
      <c r="S88" s="5" t="n">
        <v>-52</v>
      </c>
      <c r="T88" s="8" t="n">
        <v>-0.1259</v>
      </c>
      <c r="U88" s="5" t="n">
        <v>6</v>
      </c>
      <c r="V88" s="5" t="n">
        <v>-76</v>
      </c>
      <c r="W88" s="5" t="n">
        <v>-95</v>
      </c>
      <c r="X88" s="5" t="n">
        <v>110</v>
      </c>
    </row>
    <row r="89" ht="20" customHeight="1">
      <c r="A89" s="44" t="n">
        <v>88</v>
      </c>
      <c r="B89" s="10" t="inlineStr">
        <is>
          <t>Ajnala (Ward 14)</t>
        </is>
      </c>
      <c r="C89" s="10" t="inlineStr">
        <is>
          <t>ਅਜਨਾਲਾ (ਵਾਰਡ 14)</t>
        </is>
      </c>
      <c r="D89" s="14" t="inlineStr">
        <is>
          <t>AAP</t>
        </is>
      </c>
      <c r="E89" s="12" t="n">
        <v>12</v>
      </c>
      <c r="F89" s="14" t="inlineStr">
        <is>
          <t>BJP</t>
        </is>
      </c>
      <c r="G89" s="12" t="n">
        <v>22</v>
      </c>
      <c r="H89" s="37" t="inlineStr">
        <is>
          <t>AAP → BJP</t>
        </is>
      </c>
      <c r="I89" s="12" t="n">
        <v>65</v>
      </c>
      <c r="J89" s="12" t="n">
        <v>203</v>
      </c>
      <c r="K89" s="12" t="n">
        <v>191</v>
      </c>
      <c r="L89" s="12" t="n">
        <v>2</v>
      </c>
      <c r="M89" s="12" t="n">
        <v>486</v>
      </c>
      <c r="N89" s="12" t="n">
        <v>86</v>
      </c>
      <c r="O89" s="12" t="n">
        <v>141</v>
      </c>
      <c r="P89" s="12" t="n">
        <v>70</v>
      </c>
      <c r="Q89" s="12" t="n">
        <v>163</v>
      </c>
      <c r="R89" s="12" t="n">
        <v>485</v>
      </c>
      <c r="S89" s="12" t="n">
        <v>-1</v>
      </c>
      <c r="T89" s="15" t="n">
        <v>-0.21</v>
      </c>
      <c r="U89" s="12" t="n">
        <v>21</v>
      </c>
      <c r="V89" s="12" t="n">
        <v>-62</v>
      </c>
      <c r="W89" s="12" t="n">
        <v>-121</v>
      </c>
      <c r="X89" s="12" t="n">
        <v>161</v>
      </c>
    </row>
    <row r="90" ht="20" customHeight="1">
      <c r="A90" s="47" t="n">
        <v>89</v>
      </c>
      <c r="B90" s="3" t="inlineStr">
        <is>
          <t>Ajnala (Ward 15)</t>
        </is>
      </c>
      <c r="C90" s="3" t="inlineStr">
        <is>
          <t>ਅਜਨਾਲਾ (ਵਾਰਡ 15)</t>
        </is>
      </c>
      <c r="D90" s="7" t="inlineStr">
        <is>
          <t>SAD</t>
        </is>
      </c>
      <c r="E90" s="5" t="n">
        <v>72</v>
      </c>
      <c r="F90" s="7" t="inlineStr">
        <is>
          <t>BJP</t>
        </is>
      </c>
      <c r="G90" s="5" t="n">
        <v>12</v>
      </c>
      <c r="H90" s="37" t="inlineStr">
        <is>
          <t>SAD → BJP</t>
        </is>
      </c>
      <c r="I90" s="5" t="n">
        <v>124</v>
      </c>
      <c r="J90" s="5" t="n">
        <v>101</v>
      </c>
      <c r="K90" s="5" t="n">
        <v>196</v>
      </c>
      <c r="L90" s="5" t="n">
        <v>0</v>
      </c>
      <c r="M90" s="5" t="n">
        <v>436</v>
      </c>
      <c r="N90" s="5" t="n">
        <v>69</v>
      </c>
      <c r="O90" s="5" t="n">
        <v>139</v>
      </c>
      <c r="P90" s="5" t="n">
        <v>15</v>
      </c>
      <c r="Q90" s="5" t="n">
        <v>151</v>
      </c>
      <c r="R90" s="5" t="n">
        <v>390</v>
      </c>
      <c r="S90" s="5" t="n">
        <v>-46</v>
      </c>
      <c r="T90" s="8" t="n">
        <v>-0.1055</v>
      </c>
      <c r="U90" s="5" t="n">
        <v>-55</v>
      </c>
      <c r="V90" s="5" t="n">
        <v>38</v>
      </c>
      <c r="W90" s="5" t="n">
        <v>-181</v>
      </c>
      <c r="X90" s="5" t="n">
        <v>151</v>
      </c>
    </row>
    <row r="91" ht="20" customHeight="1">
      <c r="A91" s="44" t="n">
        <v>90</v>
      </c>
      <c r="B91" s="10" t="inlineStr">
        <is>
          <t>Ajnala (Tehsil/Civil)</t>
        </is>
      </c>
      <c r="C91" s="10" t="inlineStr">
        <is>
          <t>ਅਜਨਾਲਾ (ਤਹਿਸੀਲ/ਸਿਵਲ)</t>
        </is>
      </c>
      <c r="D91" s="14" t="inlineStr">
        <is>
          <t>AAP</t>
        </is>
      </c>
      <c r="E91" s="12" t="n">
        <v>129</v>
      </c>
      <c r="F91" s="14" t="inlineStr">
        <is>
          <t>AAP</t>
        </is>
      </c>
      <c r="G91" s="12" t="n">
        <v>167</v>
      </c>
      <c r="H91" s="32" t="inlineStr">
        <is>
          <t>Retained AAP</t>
        </is>
      </c>
      <c r="I91" s="12" t="n">
        <v>187</v>
      </c>
      <c r="J91" s="12" t="n">
        <v>425</v>
      </c>
      <c r="K91" s="12" t="n">
        <v>296</v>
      </c>
      <c r="L91" s="12" t="n">
        <v>7</v>
      </c>
      <c r="M91" s="12" t="n">
        <v>945</v>
      </c>
      <c r="N91" s="12" t="n">
        <v>191</v>
      </c>
      <c r="O91" s="12" t="n">
        <v>359</v>
      </c>
      <c r="P91" s="12" t="n">
        <v>37</v>
      </c>
      <c r="Q91" s="12" t="n">
        <v>192</v>
      </c>
      <c r="R91" s="12" t="n">
        <v>854</v>
      </c>
      <c r="S91" s="12" t="n">
        <v>-91</v>
      </c>
      <c r="T91" s="15" t="n">
        <v>-0.09630000000000001</v>
      </c>
      <c r="U91" s="12" t="n">
        <v>4</v>
      </c>
      <c r="V91" s="12" t="n">
        <v>-66</v>
      </c>
      <c r="W91" s="12" t="n">
        <v>-259</v>
      </c>
      <c r="X91" s="12" t="n">
        <v>185</v>
      </c>
    </row>
    <row r="92" ht="20" customHeight="1">
      <c r="A92" s="47" t="n">
        <v>91</v>
      </c>
      <c r="B92" s="3" t="inlineStr">
        <is>
          <t>Sarai</t>
        </is>
      </c>
      <c r="C92" s="3" t="inlineStr">
        <is>
          <t>ਸਰਾਏ</t>
        </is>
      </c>
      <c r="D92" s="7" t="inlineStr">
        <is>
          <t>SAD</t>
        </is>
      </c>
      <c r="E92" s="5" t="n">
        <v>9</v>
      </c>
      <c r="F92" s="7" t="inlineStr">
        <is>
          <t>INC</t>
        </is>
      </c>
      <c r="G92" s="5" t="n">
        <v>12</v>
      </c>
      <c r="H92" s="37" t="inlineStr">
        <is>
          <t>SAD → INC</t>
        </is>
      </c>
      <c r="I92" s="5" t="n">
        <v>250</v>
      </c>
      <c r="J92" s="5" t="n">
        <v>260</v>
      </c>
      <c r="K92" s="5" t="n">
        <v>269</v>
      </c>
      <c r="L92" s="5" t="n">
        <v>1</v>
      </c>
      <c r="M92" s="5" t="n">
        <v>812</v>
      </c>
      <c r="N92" s="5" t="n">
        <v>245</v>
      </c>
      <c r="O92" s="5" t="n">
        <v>233</v>
      </c>
      <c r="P92" s="5" t="n">
        <v>80</v>
      </c>
      <c r="Q92" s="5" t="n">
        <v>88</v>
      </c>
      <c r="R92" s="5" t="n">
        <v>712</v>
      </c>
      <c r="S92" s="5" t="n">
        <v>-100</v>
      </c>
      <c r="T92" s="8" t="n">
        <v>-0.1232</v>
      </c>
      <c r="U92" s="5" t="n">
        <v>-5</v>
      </c>
      <c r="V92" s="5" t="n">
        <v>-27</v>
      </c>
      <c r="W92" s="5" t="n">
        <v>-189</v>
      </c>
      <c r="X92" s="5" t="n">
        <v>87</v>
      </c>
    </row>
    <row r="93" ht="20" customHeight="1">
      <c r="A93" s="44" t="n">
        <v>92</v>
      </c>
      <c r="B93" s="10" t="inlineStr">
        <is>
          <t>Riar</t>
        </is>
      </c>
      <c r="C93" s="10" t="inlineStr">
        <is>
          <t>ਰੀਆੜ</t>
        </is>
      </c>
      <c r="D93" s="14" t="inlineStr">
        <is>
          <t>AAP</t>
        </is>
      </c>
      <c r="E93" s="12" t="n">
        <v>116</v>
      </c>
      <c r="F93" s="14" t="inlineStr">
        <is>
          <t>AAP</t>
        </is>
      </c>
      <c r="G93" s="12" t="n">
        <v>102</v>
      </c>
      <c r="H93" s="32" t="inlineStr">
        <is>
          <t>Retained AAP</t>
        </is>
      </c>
      <c r="I93" s="12" t="n">
        <v>133</v>
      </c>
      <c r="J93" s="12" t="n">
        <v>250</v>
      </c>
      <c r="K93" s="12" t="n">
        <v>134</v>
      </c>
      <c r="L93" s="12" t="n">
        <v>0</v>
      </c>
      <c r="M93" s="12" t="n">
        <v>555</v>
      </c>
      <c r="N93" s="12" t="n">
        <v>136</v>
      </c>
      <c r="O93" s="12" t="n">
        <v>238</v>
      </c>
      <c r="P93" s="12" t="n">
        <v>28</v>
      </c>
      <c r="Q93" s="12" t="n">
        <v>34</v>
      </c>
      <c r="R93" s="12" t="n">
        <v>495</v>
      </c>
      <c r="S93" s="12" t="n">
        <v>-60</v>
      </c>
      <c r="T93" s="15" t="n">
        <v>-0.1081</v>
      </c>
      <c r="U93" s="12" t="n">
        <v>3</v>
      </c>
      <c r="V93" s="12" t="n">
        <v>-12</v>
      </c>
      <c r="W93" s="12" t="n">
        <v>-106</v>
      </c>
      <c r="X93" s="12" t="n">
        <v>34</v>
      </c>
    </row>
    <row r="94" ht="20" customHeight="1">
      <c r="A94" s="47" t="n">
        <v>93</v>
      </c>
      <c r="B94" s="3" t="inlineStr">
        <is>
          <t>Pandori Sukha Singh</t>
        </is>
      </c>
      <c r="C94" s="3" t="inlineStr">
        <is>
          <t>ਪੰਡੋਰੀ ਸੁੱਖਾ ਸਿੰਘ</t>
        </is>
      </c>
      <c r="D94" s="7" t="inlineStr">
        <is>
          <t>AAP</t>
        </is>
      </c>
      <c r="E94" s="5" t="n">
        <v>25</v>
      </c>
      <c r="F94" s="7" t="inlineStr">
        <is>
          <t>AAP</t>
        </is>
      </c>
      <c r="G94" s="5" t="n">
        <v>108</v>
      </c>
      <c r="H94" s="32" t="inlineStr">
        <is>
          <t>Retained AAP</t>
        </is>
      </c>
      <c r="I94" s="5" t="n">
        <v>138</v>
      </c>
      <c r="J94" s="5" t="n">
        <v>163</v>
      </c>
      <c r="K94" s="5" t="n">
        <v>116</v>
      </c>
      <c r="L94" s="5" t="n">
        <v>0</v>
      </c>
      <c r="M94" s="5" t="n">
        <v>458</v>
      </c>
      <c r="N94" s="5" t="n">
        <v>94</v>
      </c>
      <c r="O94" s="5" t="n">
        <v>202</v>
      </c>
      <c r="P94" s="5" t="n">
        <v>68</v>
      </c>
      <c r="Q94" s="5" t="n">
        <v>25</v>
      </c>
      <c r="R94" s="5" t="n">
        <v>412</v>
      </c>
      <c r="S94" s="5" t="n">
        <v>-46</v>
      </c>
      <c r="T94" s="8" t="n">
        <v>-0.1004</v>
      </c>
      <c r="U94" s="5" t="n">
        <v>-44</v>
      </c>
      <c r="V94" s="5" t="n">
        <v>39</v>
      </c>
      <c r="W94" s="5" t="n">
        <v>-48</v>
      </c>
      <c r="X94" s="5" t="n">
        <v>25</v>
      </c>
    </row>
    <row r="95" ht="20" customHeight="1">
      <c r="A95" s="44" t="n">
        <v>94</v>
      </c>
      <c r="B95" s="10" t="inlineStr">
        <is>
          <t>Bhakha Tara Singh</t>
        </is>
      </c>
      <c r="C95" s="10" t="inlineStr">
        <is>
          <t>ਭੱਖਾ ਤਾਰਾ ਸਿੰਘ</t>
        </is>
      </c>
      <c r="D95" s="14" t="inlineStr">
        <is>
          <t>AAP</t>
        </is>
      </c>
      <c r="E95" s="12" t="n">
        <v>48</v>
      </c>
      <c r="F95" s="14" t="inlineStr">
        <is>
          <t>AAP</t>
        </is>
      </c>
      <c r="G95" s="12" t="n">
        <v>38</v>
      </c>
      <c r="H95" s="32" t="inlineStr">
        <is>
          <t>Retained AAP</t>
        </is>
      </c>
      <c r="I95" s="12" t="n">
        <v>209</v>
      </c>
      <c r="J95" s="12" t="n">
        <v>257</v>
      </c>
      <c r="K95" s="12" t="n">
        <v>198</v>
      </c>
      <c r="L95" s="12" t="n">
        <v>0</v>
      </c>
      <c r="M95" s="12" t="n">
        <v>702</v>
      </c>
      <c r="N95" s="12" t="n">
        <v>229</v>
      </c>
      <c r="O95" s="12" t="n">
        <v>267</v>
      </c>
      <c r="P95" s="12" t="n">
        <v>32</v>
      </c>
      <c r="Q95" s="12" t="n">
        <v>113</v>
      </c>
      <c r="R95" s="12" t="n">
        <v>672</v>
      </c>
      <c r="S95" s="12" t="n">
        <v>-30</v>
      </c>
      <c r="T95" s="15" t="n">
        <v>-0.04269999999999999</v>
      </c>
      <c r="U95" s="12" t="n">
        <v>20</v>
      </c>
      <c r="V95" s="12" t="n">
        <v>10</v>
      </c>
      <c r="W95" s="12" t="n">
        <v>-166</v>
      </c>
      <c r="X95" s="12" t="n">
        <v>113</v>
      </c>
    </row>
    <row r="96" ht="20" customHeight="1">
      <c r="A96" s="47" t="n">
        <v>95</v>
      </c>
      <c r="B96" s="3" t="inlineStr">
        <is>
          <t>Bhakha Hari Singh</t>
        </is>
      </c>
      <c r="C96" s="3" t="inlineStr">
        <is>
          <t>ਭੱਖਾ ਹਰੀ ਸਿੰਘ</t>
        </is>
      </c>
      <c r="D96" s="7" t="inlineStr">
        <is>
          <t>INC</t>
        </is>
      </c>
      <c r="E96" s="5" t="n">
        <v>140</v>
      </c>
      <c r="F96" s="7" t="inlineStr">
        <is>
          <t>INC</t>
        </is>
      </c>
      <c r="G96" s="5" t="n">
        <v>27</v>
      </c>
      <c r="H96" s="32" t="inlineStr">
        <is>
          <t>Retained INC</t>
        </is>
      </c>
      <c r="I96" s="5" t="n">
        <v>277</v>
      </c>
      <c r="J96" s="5" t="n">
        <v>82</v>
      </c>
      <c r="K96" s="5" t="n">
        <v>137</v>
      </c>
      <c r="L96" s="5" t="n">
        <v>0</v>
      </c>
      <c r="M96" s="5" t="n">
        <v>507</v>
      </c>
      <c r="N96" s="5" t="n">
        <v>189</v>
      </c>
      <c r="O96" s="5" t="n">
        <v>162</v>
      </c>
      <c r="P96" s="5" t="n">
        <v>88</v>
      </c>
      <c r="Q96" s="5" t="n">
        <v>34</v>
      </c>
      <c r="R96" s="5" t="n">
        <v>487</v>
      </c>
      <c r="S96" s="5" t="n">
        <v>-20</v>
      </c>
      <c r="T96" s="8" t="n">
        <v>-0.0394</v>
      </c>
      <c r="U96" s="5" t="n">
        <v>-88</v>
      </c>
      <c r="V96" s="5" t="n">
        <v>80</v>
      </c>
      <c r="W96" s="5" t="n">
        <v>-49</v>
      </c>
      <c r="X96" s="5" t="n">
        <v>34</v>
      </c>
    </row>
    <row r="97" ht="20" customHeight="1">
      <c r="A97" s="44" t="n">
        <v>96</v>
      </c>
      <c r="B97" s="10" t="inlineStr">
        <is>
          <t>Panj Garai Nijjran</t>
        </is>
      </c>
      <c r="C97" s="10" t="inlineStr">
        <is>
          <t>ਪੰਜ ਗਰਾਈਂ ਨਿੱਜਰਾਂ</t>
        </is>
      </c>
      <c r="D97" s="14" t="inlineStr">
        <is>
          <t>AAP</t>
        </is>
      </c>
      <c r="E97" s="12" t="n">
        <v>19</v>
      </c>
      <c r="F97" s="14" t="inlineStr">
        <is>
          <t>AAP</t>
        </is>
      </c>
      <c r="G97" s="12" t="n">
        <v>76</v>
      </c>
      <c r="H97" s="32" t="inlineStr">
        <is>
          <t>Retained AAP</t>
        </is>
      </c>
      <c r="I97" s="12" t="n">
        <v>138</v>
      </c>
      <c r="J97" s="12" t="n">
        <v>307</v>
      </c>
      <c r="K97" s="12" t="n">
        <v>288</v>
      </c>
      <c r="L97" s="12" t="n">
        <v>1</v>
      </c>
      <c r="M97" s="12" t="n">
        <v>761</v>
      </c>
      <c r="N97" s="12" t="n">
        <v>173</v>
      </c>
      <c r="O97" s="12" t="n">
        <v>249</v>
      </c>
      <c r="P97" s="12" t="n">
        <v>143</v>
      </c>
      <c r="Q97" s="12" t="n">
        <v>13</v>
      </c>
      <c r="R97" s="12" t="n">
        <v>630</v>
      </c>
      <c r="S97" s="12" t="n">
        <v>-131</v>
      </c>
      <c r="T97" s="15" t="n">
        <v>-0.1721</v>
      </c>
      <c r="U97" s="12" t="n">
        <v>35</v>
      </c>
      <c r="V97" s="12" t="n">
        <v>-58</v>
      </c>
      <c r="W97" s="12" t="n">
        <v>-145</v>
      </c>
      <c r="X97" s="12" t="n">
        <v>12</v>
      </c>
    </row>
    <row r="98" ht="20" customHeight="1">
      <c r="A98" s="47" t="n">
        <v>97</v>
      </c>
      <c r="B98" s="3" t="inlineStr">
        <is>
          <t>Rokhe</t>
        </is>
      </c>
      <c r="C98" s="3" t="inlineStr">
        <is>
          <t>ਰੋਖੇ</t>
        </is>
      </c>
      <c r="D98" s="7" t="inlineStr">
        <is>
          <t>INC</t>
        </is>
      </c>
      <c r="E98" s="5" t="n">
        <v>25</v>
      </c>
      <c r="F98" s="7" t="inlineStr">
        <is>
          <t>INC</t>
        </is>
      </c>
      <c r="G98" s="5" t="n">
        <v>202</v>
      </c>
      <c r="H98" s="32" t="inlineStr">
        <is>
          <t>Retained INC</t>
        </is>
      </c>
      <c r="I98" s="5" t="n">
        <v>290</v>
      </c>
      <c r="J98" s="5" t="n">
        <v>265</v>
      </c>
      <c r="K98" s="5" t="n">
        <v>240</v>
      </c>
      <c r="L98" s="5" t="n">
        <v>3</v>
      </c>
      <c r="M98" s="5" t="n">
        <v>888</v>
      </c>
      <c r="N98" s="5" t="n">
        <v>375</v>
      </c>
      <c r="O98" s="5" t="n">
        <v>173</v>
      </c>
      <c r="P98" s="5" t="n">
        <v>43</v>
      </c>
      <c r="Q98" s="5" t="n">
        <v>54</v>
      </c>
      <c r="R98" s="5" t="n">
        <v>693</v>
      </c>
      <c r="S98" s="5" t="n">
        <v>-195</v>
      </c>
      <c r="T98" s="8" t="n">
        <v>-0.2196</v>
      </c>
      <c r="U98" s="5" t="n">
        <v>85</v>
      </c>
      <c r="V98" s="5" t="n">
        <v>-92</v>
      </c>
      <c r="W98" s="5" t="n">
        <v>-197</v>
      </c>
      <c r="X98" s="5" t="n">
        <v>51</v>
      </c>
    </row>
    <row r="99" ht="20" customHeight="1">
      <c r="A99" s="44" t="n">
        <v>98</v>
      </c>
      <c r="B99" s="10" t="inlineStr">
        <is>
          <t>Ugar Aulakh</t>
        </is>
      </c>
      <c r="C99" s="10" t="inlineStr">
        <is>
          <t>ਉਗਰ ਔਲਖ</t>
        </is>
      </c>
      <c r="D99" s="14" t="inlineStr">
        <is>
          <t>AAP</t>
        </is>
      </c>
      <c r="E99" s="12" t="n">
        <v>94</v>
      </c>
      <c r="F99" s="14" t="inlineStr">
        <is>
          <t>INC</t>
        </is>
      </c>
      <c r="G99" s="12" t="n">
        <v>71</v>
      </c>
      <c r="H99" s="37" t="inlineStr">
        <is>
          <t>AAP → INC</t>
        </is>
      </c>
      <c r="I99" s="12" t="n">
        <v>149</v>
      </c>
      <c r="J99" s="12" t="n">
        <v>243</v>
      </c>
      <c r="K99" s="12" t="n">
        <v>143</v>
      </c>
      <c r="L99" s="12" t="n">
        <v>2</v>
      </c>
      <c r="M99" s="12" t="n">
        <v>566</v>
      </c>
      <c r="N99" s="12" t="n">
        <v>217</v>
      </c>
      <c r="O99" s="12" t="n">
        <v>146</v>
      </c>
      <c r="P99" s="12" t="n">
        <v>38</v>
      </c>
      <c r="Q99" s="12" t="n">
        <v>67</v>
      </c>
      <c r="R99" s="12" t="n">
        <v>533</v>
      </c>
      <c r="S99" s="12" t="n">
        <v>-33</v>
      </c>
      <c r="T99" s="15" t="n">
        <v>-0.0583</v>
      </c>
      <c r="U99" s="12" t="n">
        <v>68</v>
      </c>
      <c r="V99" s="12" t="n">
        <v>-97</v>
      </c>
      <c r="W99" s="12" t="n">
        <v>-105</v>
      </c>
      <c r="X99" s="12" t="n">
        <v>65</v>
      </c>
    </row>
    <row r="100" ht="20" customHeight="1">
      <c r="A100" s="47" t="n">
        <v>99</v>
      </c>
      <c r="B100" s="3" t="inlineStr">
        <is>
          <t>Ugar Aulakh</t>
        </is>
      </c>
      <c r="C100" s="3" t="inlineStr">
        <is>
          <t>ਉਗਰ ਔਲਖ</t>
        </is>
      </c>
      <c r="D100" s="7" t="inlineStr">
        <is>
          <t>AAP</t>
        </is>
      </c>
      <c r="E100" s="5" t="n">
        <v>97</v>
      </c>
      <c r="F100" s="7" t="inlineStr">
        <is>
          <t>INC</t>
        </is>
      </c>
      <c r="G100" s="5" t="n">
        <v>21</v>
      </c>
      <c r="H100" s="37" t="inlineStr">
        <is>
          <t>AAP → INC</t>
        </is>
      </c>
      <c r="I100" s="5" t="n">
        <v>77</v>
      </c>
      <c r="J100" s="5" t="n">
        <v>273</v>
      </c>
      <c r="K100" s="5" t="n">
        <v>176</v>
      </c>
      <c r="L100" s="5" t="n">
        <v>1</v>
      </c>
      <c r="M100" s="5" t="n">
        <v>555</v>
      </c>
      <c r="N100" s="5" t="n">
        <v>186</v>
      </c>
      <c r="O100" s="5" t="n">
        <v>165</v>
      </c>
      <c r="P100" s="5" t="n">
        <v>19</v>
      </c>
      <c r="Q100" s="5" t="n">
        <v>64</v>
      </c>
      <c r="R100" s="5" t="n">
        <v>493</v>
      </c>
      <c r="S100" s="5" t="n">
        <v>-62</v>
      </c>
      <c r="T100" s="8" t="n">
        <v>-0.1117</v>
      </c>
      <c r="U100" s="5" t="n">
        <v>109</v>
      </c>
      <c r="V100" s="5" t="n">
        <v>-108</v>
      </c>
      <c r="W100" s="5" t="n">
        <v>-157</v>
      </c>
      <c r="X100" s="5" t="n">
        <v>63</v>
      </c>
    </row>
    <row r="101" ht="20" customHeight="1">
      <c r="A101" s="44" t="n">
        <v>100</v>
      </c>
      <c r="B101" s="10" t="inlineStr">
        <is>
          <t>Rajia</t>
        </is>
      </c>
      <c r="C101" s="10" t="inlineStr">
        <is>
          <t>ਰਾਜੀਆ</t>
        </is>
      </c>
      <c r="D101" s="14" t="inlineStr">
        <is>
          <t>SAD</t>
        </is>
      </c>
      <c r="E101" s="12" t="n">
        <v>80</v>
      </c>
      <c r="F101" s="14" t="inlineStr">
        <is>
          <t>INC</t>
        </is>
      </c>
      <c r="G101" s="12" t="n">
        <v>22</v>
      </c>
      <c r="H101" s="37" t="inlineStr">
        <is>
          <t>SAD → INC</t>
        </is>
      </c>
      <c r="I101" s="12" t="n">
        <v>177</v>
      </c>
      <c r="J101" s="12" t="n">
        <v>182</v>
      </c>
      <c r="K101" s="12" t="n">
        <v>262</v>
      </c>
      <c r="L101" s="12" t="n">
        <v>0</v>
      </c>
      <c r="M101" s="12" t="n">
        <v>639</v>
      </c>
      <c r="N101" s="12" t="n">
        <v>208</v>
      </c>
      <c r="O101" s="12" t="n">
        <v>186</v>
      </c>
      <c r="P101" s="12" t="n">
        <v>44</v>
      </c>
      <c r="Q101" s="12" t="n">
        <v>90</v>
      </c>
      <c r="R101" s="12" t="n">
        <v>587</v>
      </c>
      <c r="S101" s="12" t="n">
        <v>-52</v>
      </c>
      <c r="T101" s="15" t="n">
        <v>-0.0814</v>
      </c>
      <c r="U101" s="12" t="n">
        <v>31</v>
      </c>
      <c r="V101" s="12" t="n">
        <v>4</v>
      </c>
      <c r="W101" s="12" t="n">
        <v>-218</v>
      </c>
      <c r="X101" s="12" t="n">
        <v>90</v>
      </c>
    </row>
    <row r="102" ht="20" customHeight="1">
      <c r="A102" s="47" t="n">
        <v>101</v>
      </c>
      <c r="B102" s="3" t="inlineStr">
        <is>
          <t>Terhi</t>
        </is>
      </c>
      <c r="C102" s="3" t="inlineStr">
        <is>
          <t>ਤੇੜ੍ਹੀ</t>
        </is>
      </c>
      <c r="D102" s="7" t="inlineStr">
        <is>
          <t>SAD</t>
        </is>
      </c>
      <c r="E102" s="5" t="n">
        <v>38</v>
      </c>
      <c r="F102" s="7" t="inlineStr">
        <is>
          <t>INC</t>
        </is>
      </c>
      <c r="G102" s="5" t="n">
        <v>65</v>
      </c>
      <c r="H102" s="37" t="inlineStr">
        <is>
          <t>SAD → INC</t>
        </is>
      </c>
      <c r="I102" s="5" t="n">
        <v>214</v>
      </c>
      <c r="J102" s="5" t="n">
        <v>183</v>
      </c>
      <c r="K102" s="5" t="n">
        <v>252</v>
      </c>
      <c r="L102" s="5" t="n">
        <v>8</v>
      </c>
      <c r="M102" s="5" t="n">
        <v>688</v>
      </c>
      <c r="N102" s="5" t="n">
        <v>198</v>
      </c>
      <c r="O102" s="5" t="n">
        <v>133</v>
      </c>
      <c r="P102" s="5" t="n">
        <v>120</v>
      </c>
      <c r="Q102" s="5" t="n">
        <v>69</v>
      </c>
      <c r="R102" s="5" t="n">
        <v>581</v>
      </c>
      <c r="S102" s="5" t="n">
        <v>-107</v>
      </c>
      <c r="T102" s="8" t="n">
        <v>-0.1555</v>
      </c>
      <c r="U102" s="5" t="n">
        <v>-16</v>
      </c>
      <c r="V102" s="5" t="n">
        <v>-50</v>
      </c>
      <c r="W102" s="5" t="n">
        <v>-132</v>
      </c>
      <c r="X102" s="5" t="n">
        <v>61</v>
      </c>
    </row>
    <row r="103" ht="20" customHeight="1">
      <c r="A103" s="44" t="n">
        <v>102</v>
      </c>
      <c r="B103" s="10" t="inlineStr">
        <is>
          <t>Dhariwal Kaler</t>
        </is>
      </c>
      <c r="C103" s="10" t="inlineStr">
        <is>
          <t>ਧਾਰੀਵਾਲ ਕਲੇਰ</t>
        </is>
      </c>
      <c r="D103" s="14" t="inlineStr">
        <is>
          <t>AAP</t>
        </is>
      </c>
      <c r="E103" s="12" t="n">
        <v>168</v>
      </c>
      <c r="F103" s="14" t="inlineStr">
        <is>
          <t>AAP</t>
        </is>
      </c>
      <c r="G103" s="12" t="n">
        <v>97</v>
      </c>
      <c r="H103" s="32" t="inlineStr">
        <is>
          <t>Retained AAP</t>
        </is>
      </c>
      <c r="I103" s="12" t="n">
        <v>161</v>
      </c>
      <c r="J103" s="12" t="n">
        <v>329</v>
      </c>
      <c r="K103" s="12" t="n">
        <v>141</v>
      </c>
      <c r="L103" s="12" t="n">
        <v>0</v>
      </c>
      <c r="M103" s="12" t="n">
        <v>680</v>
      </c>
      <c r="N103" s="12" t="n">
        <v>101</v>
      </c>
      <c r="O103" s="12" t="n">
        <v>198</v>
      </c>
      <c r="P103" s="12" t="n">
        <v>73</v>
      </c>
      <c r="Q103" s="12" t="n">
        <v>25</v>
      </c>
      <c r="R103" s="12" t="n">
        <v>508</v>
      </c>
      <c r="S103" s="12" t="n">
        <v>-172</v>
      </c>
      <c r="T103" s="15" t="n">
        <v>-0.2529</v>
      </c>
      <c r="U103" s="12" t="n">
        <v>-60</v>
      </c>
      <c r="V103" s="12" t="n">
        <v>-131</v>
      </c>
      <c r="W103" s="12" t="n">
        <v>-68</v>
      </c>
      <c r="X103" s="12" t="n">
        <v>25</v>
      </c>
    </row>
    <row r="104" ht="20" customHeight="1">
      <c r="A104" s="47" t="n">
        <v>103</v>
      </c>
      <c r="B104" s="3" t="inlineStr">
        <is>
          <t>Dhariwal Kaler</t>
        </is>
      </c>
      <c r="C104" s="3" t="inlineStr">
        <is>
          <t>ਧਾਰੀਵਾਲ ਕਲੇਰ</t>
        </is>
      </c>
      <c r="D104" s="7" t="inlineStr">
        <is>
          <t>INC</t>
        </is>
      </c>
      <c r="E104" s="5" t="n">
        <v>95</v>
      </c>
      <c r="F104" s="7" t="inlineStr">
        <is>
          <t>INC</t>
        </is>
      </c>
      <c r="G104" s="5" t="n">
        <v>69</v>
      </c>
      <c r="H104" s="32" t="inlineStr">
        <is>
          <t>Retained INC</t>
        </is>
      </c>
      <c r="I104" s="5" t="n">
        <v>307</v>
      </c>
      <c r="J104" s="5" t="n">
        <v>212</v>
      </c>
      <c r="K104" s="5" t="n">
        <v>134</v>
      </c>
      <c r="L104" s="5" t="n">
        <v>2</v>
      </c>
      <c r="M104" s="5" t="n">
        <v>703</v>
      </c>
      <c r="N104" s="5" t="n">
        <v>243</v>
      </c>
      <c r="O104" s="5" t="n">
        <v>174</v>
      </c>
      <c r="P104" s="5" t="n">
        <v>72</v>
      </c>
      <c r="Q104" s="5" t="n">
        <v>33</v>
      </c>
      <c r="R104" s="5" t="n">
        <v>568</v>
      </c>
      <c r="S104" s="5" t="n">
        <v>-135</v>
      </c>
      <c r="T104" s="8" t="n">
        <v>-0.192</v>
      </c>
      <c r="U104" s="5" t="n">
        <v>-64</v>
      </c>
      <c r="V104" s="5" t="n">
        <v>-38</v>
      </c>
      <c r="W104" s="5" t="n">
        <v>-62</v>
      </c>
      <c r="X104" s="5" t="n">
        <v>31</v>
      </c>
    </row>
    <row r="105" ht="20" customHeight="1">
      <c r="A105" s="44" t="n">
        <v>104</v>
      </c>
      <c r="B105" s="10" t="inlineStr">
        <is>
          <t>Ibrahim Pura</t>
        </is>
      </c>
      <c r="C105" s="10" t="inlineStr">
        <is>
          <t>ਇਬਰਾਹਿਮ ਪੁਰਾ</t>
        </is>
      </c>
      <c r="D105" s="14" t="inlineStr">
        <is>
          <t>AAP</t>
        </is>
      </c>
      <c r="E105" s="12" t="n">
        <v>26</v>
      </c>
      <c r="F105" s="14" t="inlineStr">
        <is>
          <t>AAP</t>
        </is>
      </c>
      <c r="G105" s="12" t="n">
        <v>25</v>
      </c>
      <c r="H105" s="32" t="inlineStr">
        <is>
          <t>Retained AAP</t>
        </is>
      </c>
      <c r="I105" s="12" t="n">
        <v>90</v>
      </c>
      <c r="J105" s="12" t="n">
        <v>183</v>
      </c>
      <c r="K105" s="12" t="n">
        <v>157</v>
      </c>
      <c r="L105" s="12" t="n">
        <v>3</v>
      </c>
      <c r="M105" s="12" t="n">
        <v>521</v>
      </c>
      <c r="N105" s="12" t="n">
        <v>105</v>
      </c>
      <c r="O105" s="12" t="n">
        <v>130</v>
      </c>
      <c r="P105" s="12" t="n">
        <v>40</v>
      </c>
      <c r="Q105" s="12" t="n">
        <v>75</v>
      </c>
      <c r="R105" s="12" t="n">
        <v>431</v>
      </c>
      <c r="S105" s="12" t="n">
        <v>-90</v>
      </c>
      <c r="T105" s="15" t="n">
        <v>-0.1727</v>
      </c>
      <c r="U105" s="12" t="n">
        <v>15</v>
      </c>
      <c r="V105" s="12" t="n">
        <v>-53</v>
      </c>
      <c r="W105" s="12" t="n">
        <v>-117</v>
      </c>
      <c r="X105" s="12" t="n">
        <v>72</v>
      </c>
    </row>
    <row r="106" ht="20" customHeight="1">
      <c r="A106" s="47" t="n">
        <v>105</v>
      </c>
      <c r="B106" s="3" t="inlineStr">
        <is>
          <t>Kotli Amb</t>
        </is>
      </c>
      <c r="C106" s="3" t="inlineStr">
        <is>
          <t>ਕੋਟਲੀ ਅੰਬ</t>
        </is>
      </c>
      <c r="D106" s="7" t="inlineStr">
        <is>
          <t>AAP</t>
        </is>
      </c>
      <c r="E106" s="5" t="n">
        <v>148</v>
      </c>
      <c r="F106" s="7" t="inlineStr">
        <is>
          <t>INC</t>
        </is>
      </c>
      <c r="G106" s="5" t="n">
        <v>1</v>
      </c>
      <c r="H106" s="37" t="inlineStr">
        <is>
          <t>AAP → INC</t>
        </is>
      </c>
      <c r="I106" s="5" t="n">
        <v>97</v>
      </c>
      <c r="J106" s="5" t="n">
        <v>323</v>
      </c>
      <c r="K106" s="5" t="n">
        <v>175</v>
      </c>
      <c r="L106" s="5" t="n">
        <v>2</v>
      </c>
      <c r="M106" s="5" t="n">
        <v>625</v>
      </c>
      <c r="N106" s="5" t="n">
        <v>160</v>
      </c>
      <c r="O106" s="5" t="n">
        <v>159</v>
      </c>
      <c r="P106" s="5" t="n">
        <v>21</v>
      </c>
      <c r="Q106" s="5" t="n">
        <v>103</v>
      </c>
      <c r="R106" s="5" t="n">
        <v>525</v>
      </c>
      <c r="S106" s="5" t="n">
        <v>-100</v>
      </c>
      <c r="T106" s="8" t="n">
        <v>-0.16</v>
      </c>
      <c r="U106" s="5" t="n">
        <v>63</v>
      </c>
      <c r="V106" s="5" t="n">
        <v>-164</v>
      </c>
      <c r="W106" s="5" t="n">
        <v>-154</v>
      </c>
      <c r="X106" s="5" t="n">
        <v>101</v>
      </c>
    </row>
    <row r="107" ht="20" customHeight="1">
      <c r="A107" s="44" t="n">
        <v>106</v>
      </c>
      <c r="B107" s="10" t="inlineStr">
        <is>
          <t>Gujarpura</t>
        </is>
      </c>
      <c r="C107" s="10" t="inlineStr">
        <is>
          <t>ਗੁੱਜਰਪੁਰਾ</t>
        </is>
      </c>
      <c r="D107" s="14" t="inlineStr">
        <is>
          <t>AAP</t>
        </is>
      </c>
      <c r="E107" s="12" t="n">
        <v>105</v>
      </c>
      <c r="F107" s="14" t="inlineStr">
        <is>
          <t>AAP</t>
        </is>
      </c>
      <c r="G107" s="12" t="n">
        <v>55</v>
      </c>
      <c r="H107" s="32" t="inlineStr">
        <is>
          <t>Retained AAP</t>
        </is>
      </c>
      <c r="I107" s="12" t="n">
        <v>144</v>
      </c>
      <c r="J107" s="12" t="n">
        <v>249</v>
      </c>
      <c r="K107" s="12" t="n">
        <v>128</v>
      </c>
      <c r="L107" s="12" t="n">
        <v>1</v>
      </c>
      <c r="M107" s="12" t="n">
        <v>600</v>
      </c>
      <c r="N107" s="12" t="n">
        <v>148</v>
      </c>
      <c r="O107" s="12" t="n">
        <v>203</v>
      </c>
      <c r="P107" s="12" t="n">
        <v>33</v>
      </c>
      <c r="Q107" s="12" t="n">
        <v>21</v>
      </c>
      <c r="R107" s="12" t="n">
        <v>478</v>
      </c>
      <c r="S107" s="12" t="n">
        <v>-122</v>
      </c>
      <c r="T107" s="15" t="n">
        <v>-0.2033</v>
      </c>
      <c r="U107" s="12" t="n">
        <v>4</v>
      </c>
      <c r="V107" s="12" t="n">
        <v>-46</v>
      </c>
      <c r="W107" s="12" t="n">
        <v>-95</v>
      </c>
      <c r="X107" s="12" t="n">
        <v>20</v>
      </c>
    </row>
    <row r="108" ht="20" customHeight="1">
      <c r="A108" s="47" t="n">
        <v>107</v>
      </c>
      <c r="B108" s="3" t="inlineStr">
        <is>
          <t>Gujarpura</t>
        </is>
      </c>
      <c r="C108" s="3" t="inlineStr">
        <is>
          <t>ਗੁੱਜਰਪੁਰਾ</t>
        </is>
      </c>
      <c r="D108" s="7" t="inlineStr">
        <is>
          <t>AAP</t>
        </is>
      </c>
      <c r="E108" s="5" t="n">
        <v>79</v>
      </c>
      <c r="F108" s="7" t="inlineStr">
        <is>
          <t>AAP</t>
        </is>
      </c>
      <c r="G108" s="5" t="n">
        <v>53</v>
      </c>
      <c r="H108" s="32" t="inlineStr">
        <is>
          <t>Retained AAP</t>
        </is>
      </c>
      <c r="I108" s="5" t="n">
        <v>155</v>
      </c>
      <c r="J108" s="5" t="n">
        <v>238</v>
      </c>
      <c r="K108" s="5" t="n">
        <v>159</v>
      </c>
      <c r="L108" s="5" t="n">
        <v>2</v>
      </c>
      <c r="M108" s="5" t="n">
        <v>630</v>
      </c>
      <c r="N108" s="5" t="n">
        <v>175</v>
      </c>
      <c r="O108" s="5" t="n">
        <v>228</v>
      </c>
      <c r="P108" s="5" t="n">
        <v>17</v>
      </c>
      <c r="Q108" s="5" t="n">
        <v>18</v>
      </c>
      <c r="R108" s="5" t="n">
        <v>527</v>
      </c>
      <c r="S108" s="5" t="n">
        <v>-103</v>
      </c>
      <c r="T108" s="8" t="n">
        <v>-0.1635</v>
      </c>
      <c r="U108" s="5" t="n">
        <v>20</v>
      </c>
      <c r="V108" s="5" t="n">
        <v>-10</v>
      </c>
      <c r="W108" s="5" t="n">
        <v>-142</v>
      </c>
      <c r="X108" s="5" t="n">
        <v>16</v>
      </c>
    </row>
    <row r="109" ht="20" customHeight="1">
      <c r="A109" s="44" t="n">
        <v>108</v>
      </c>
      <c r="B109" s="10" t="inlineStr">
        <is>
          <t>Harar Khurd</t>
        </is>
      </c>
      <c r="C109" s="10" t="inlineStr">
        <is>
          <t>ਹਰੜ ਖੁਰਦ</t>
        </is>
      </c>
      <c r="D109" s="14" t="inlineStr">
        <is>
          <t>AAP</t>
        </is>
      </c>
      <c r="E109" s="12" t="n">
        <v>51</v>
      </c>
      <c r="F109" s="14" t="inlineStr">
        <is>
          <t>AAP</t>
        </is>
      </c>
      <c r="G109" s="12" t="n">
        <v>136</v>
      </c>
      <c r="H109" s="32" t="inlineStr">
        <is>
          <t>Retained AAP</t>
        </is>
      </c>
      <c r="I109" s="12" t="n">
        <v>107</v>
      </c>
      <c r="J109" s="12" t="n">
        <v>261</v>
      </c>
      <c r="K109" s="12" t="n">
        <v>210</v>
      </c>
      <c r="L109" s="12" t="n">
        <v>0</v>
      </c>
      <c r="M109" s="12" t="n">
        <v>615</v>
      </c>
      <c r="N109" s="12" t="n">
        <v>70</v>
      </c>
      <c r="O109" s="12" t="n">
        <v>248</v>
      </c>
      <c r="P109" s="12" t="n">
        <v>83</v>
      </c>
      <c r="Q109" s="12" t="n">
        <v>22</v>
      </c>
      <c r="R109" s="12" t="n">
        <v>560</v>
      </c>
      <c r="S109" s="12" t="n">
        <v>-55</v>
      </c>
      <c r="T109" s="15" t="n">
        <v>-0.08939999999999999</v>
      </c>
      <c r="U109" s="12" t="n">
        <v>-37</v>
      </c>
      <c r="V109" s="12" t="n">
        <v>-13</v>
      </c>
      <c r="W109" s="12" t="n">
        <v>-127</v>
      </c>
      <c r="X109" s="12" t="n">
        <v>22</v>
      </c>
    </row>
    <row r="110" ht="20" customHeight="1">
      <c r="A110" s="47" t="n">
        <v>109</v>
      </c>
      <c r="B110" s="3" t="inlineStr">
        <is>
          <t>Harar Kalan</t>
        </is>
      </c>
      <c r="C110" s="3" t="inlineStr">
        <is>
          <t>ਹਰੜ ਕਲਾਂ</t>
        </is>
      </c>
      <c r="D110" s="7" t="inlineStr">
        <is>
          <t>AAP</t>
        </is>
      </c>
      <c r="E110" s="5" t="n">
        <v>169</v>
      </c>
      <c r="F110" s="7" t="inlineStr">
        <is>
          <t>AAP</t>
        </is>
      </c>
      <c r="G110" s="5" t="n">
        <v>1</v>
      </c>
      <c r="H110" s="32" t="inlineStr">
        <is>
          <t>Retained AAP</t>
        </is>
      </c>
      <c r="I110" s="5" t="n">
        <v>144</v>
      </c>
      <c r="J110" s="5" t="n">
        <v>366</v>
      </c>
      <c r="K110" s="5" t="n">
        <v>197</v>
      </c>
      <c r="L110" s="5" t="n">
        <v>0</v>
      </c>
      <c r="M110" s="5" t="n">
        <v>744</v>
      </c>
      <c r="N110" s="5" t="n">
        <v>118</v>
      </c>
      <c r="O110" s="5" t="n">
        <v>143</v>
      </c>
      <c r="P110" s="5" t="n">
        <v>79</v>
      </c>
      <c r="Q110" s="5" t="n">
        <v>142</v>
      </c>
      <c r="R110" s="5" t="n">
        <v>613</v>
      </c>
      <c r="S110" s="5" t="n">
        <v>-131</v>
      </c>
      <c r="T110" s="8" t="n">
        <v>-0.1761</v>
      </c>
      <c r="U110" s="5" t="n">
        <v>-26</v>
      </c>
      <c r="V110" s="5" t="n">
        <v>-223</v>
      </c>
      <c r="W110" s="5" t="n">
        <v>-118</v>
      </c>
      <c r="X110" s="5" t="n">
        <v>142</v>
      </c>
    </row>
    <row r="111" ht="20" customHeight="1">
      <c r="A111" s="44" t="n">
        <v>110</v>
      </c>
      <c r="B111" s="10" t="inlineStr">
        <is>
          <t>Harar Near Bhure Gill</t>
        </is>
      </c>
      <c r="C111" s="10" t="inlineStr">
        <is>
          <t>ਹਰੜ ਨੇੜੇ ਭੂਰੇ ਗਿੱਲ</t>
        </is>
      </c>
      <c r="D111" s="14" t="inlineStr">
        <is>
          <t>INC</t>
        </is>
      </c>
      <c r="E111" s="12" t="n">
        <v>79</v>
      </c>
      <c r="F111" s="14" t="inlineStr">
        <is>
          <t>AAP</t>
        </is>
      </c>
      <c r="G111" s="12" t="n">
        <v>168</v>
      </c>
      <c r="H111" s="37" t="inlineStr">
        <is>
          <t>INC → AAP</t>
        </is>
      </c>
      <c r="I111" s="12" t="n">
        <v>119</v>
      </c>
      <c r="J111" s="12" t="n">
        <v>40</v>
      </c>
      <c r="K111" s="12" t="n">
        <v>38</v>
      </c>
      <c r="L111" s="12" t="n">
        <v>2</v>
      </c>
      <c r="M111" s="12" t="n">
        <v>225</v>
      </c>
      <c r="N111" s="12" t="n">
        <v>19</v>
      </c>
      <c r="O111" s="12" t="n">
        <v>187</v>
      </c>
      <c r="P111" s="12" t="n">
        <v>11</v>
      </c>
      <c r="Q111" s="12" t="n">
        <v>1</v>
      </c>
      <c r="R111" s="12" t="n">
        <v>225</v>
      </c>
      <c r="S111" s="12" t="n">
        <v>0</v>
      </c>
      <c r="T111" s="15" t="n">
        <v>0</v>
      </c>
      <c r="U111" s="12" t="n">
        <v>-100</v>
      </c>
      <c r="V111" s="12" t="n">
        <v>147</v>
      </c>
      <c r="W111" s="12" t="n">
        <v>-27</v>
      </c>
      <c r="X111" s="12" t="n">
        <v>-1</v>
      </c>
    </row>
    <row r="112" ht="20" customHeight="1">
      <c r="A112" s="47" t="n">
        <v>111</v>
      </c>
      <c r="B112" s="3" t="inlineStr">
        <is>
          <t>Bhure Gill</t>
        </is>
      </c>
      <c r="C112" s="3" t="inlineStr">
        <is>
          <t>ਭੂਰੇ ਗਿੱਲ</t>
        </is>
      </c>
      <c r="D112" s="7" t="inlineStr">
        <is>
          <t>INC</t>
        </is>
      </c>
      <c r="E112" s="5" t="n">
        <v>97</v>
      </c>
      <c r="F112" s="7" t="inlineStr">
        <is>
          <t>INC</t>
        </is>
      </c>
      <c r="G112" s="5" t="n">
        <v>30</v>
      </c>
      <c r="H112" s="32" t="inlineStr">
        <is>
          <t>Retained INC</t>
        </is>
      </c>
      <c r="I112" s="5" t="n">
        <v>324</v>
      </c>
      <c r="J112" s="5" t="n">
        <v>203</v>
      </c>
      <c r="K112" s="5" t="n">
        <v>227</v>
      </c>
      <c r="L112" s="5" t="n">
        <v>0</v>
      </c>
      <c r="M112" s="5" t="n">
        <v>779</v>
      </c>
      <c r="N112" s="5" t="n">
        <v>251</v>
      </c>
      <c r="O112" s="5" t="n">
        <v>221</v>
      </c>
      <c r="P112" s="5" t="n">
        <v>150</v>
      </c>
      <c r="Q112" s="5" t="n">
        <v>15</v>
      </c>
      <c r="R112" s="5" t="n">
        <v>683</v>
      </c>
      <c r="S112" s="5" t="n">
        <v>-96</v>
      </c>
      <c r="T112" s="8" t="n">
        <v>-0.1232</v>
      </c>
      <c r="U112" s="5" t="n">
        <v>-73</v>
      </c>
      <c r="V112" s="5" t="n">
        <v>18</v>
      </c>
      <c r="W112" s="5" t="n">
        <v>-77</v>
      </c>
      <c r="X112" s="5" t="n">
        <v>15</v>
      </c>
    </row>
    <row r="113" ht="20" customHeight="1">
      <c r="A113" s="44" t="n">
        <v>112</v>
      </c>
      <c r="B113" s="10" t="inlineStr">
        <is>
          <t>Diyalpura</t>
        </is>
      </c>
      <c r="C113" s="10" t="inlineStr">
        <is>
          <t>ਦਿਆਲਪੁਰਾ</t>
        </is>
      </c>
      <c r="D113" s="14" t="inlineStr">
        <is>
          <t>AAP</t>
        </is>
      </c>
      <c r="E113" s="12" t="n">
        <v>113</v>
      </c>
      <c r="F113" s="14" t="inlineStr">
        <is>
          <t>AAP</t>
        </is>
      </c>
      <c r="G113" s="12" t="n">
        <v>169</v>
      </c>
      <c r="H113" s="32" t="inlineStr">
        <is>
          <t>Retained AAP</t>
        </is>
      </c>
      <c r="I113" s="12" t="n">
        <v>265</v>
      </c>
      <c r="J113" s="12" t="n">
        <v>378</v>
      </c>
      <c r="K113" s="12" t="n">
        <v>124</v>
      </c>
      <c r="L113" s="12" t="n">
        <v>2</v>
      </c>
      <c r="M113" s="12" t="n">
        <v>808</v>
      </c>
      <c r="N113" s="12" t="n">
        <v>156</v>
      </c>
      <c r="O113" s="12" t="n">
        <v>325</v>
      </c>
      <c r="P113" s="12" t="n">
        <v>118</v>
      </c>
      <c r="Q113" s="12" t="n">
        <v>90</v>
      </c>
      <c r="R113" s="12" t="n">
        <v>748</v>
      </c>
      <c r="S113" s="12" t="n">
        <v>-60</v>
      </c>
      <c r="T113" s="15" t="n">
        <v>-0.07429999999999999</v>
      </c>
      <c r="U113" s="12" t="n">
        <v>-109</v>
      </c>
      <c r="V113" s="12" t="n">
        <v>-53</v>
      </c>
      <c r="W113" s="12" t="n">
        <v>-6</v>
      </c>
      <c r="X113" s="12" t="n">
        <v>88</v>
      </c>
    </row>
    <row r="114" ht="20" customHeight="1">
      <c r="A114" s="47" t="n">
        <v>113</v>
      </c>
      <c r="B114" s="3" t="inlineStr">
        <is>
          <t>Lango Mahal</t>
        </is>
      </c>
      <c r="C114" s="3" t="inlineStr">
        <is>
          <t>ਲੰਗੋ ਮਾਹਲ</t>
        </is>
      </c>
      <c r="D114" s="7" t="inlineStr">
        <is>
          <t>AAP</t>
        </is>
      </c>
      <c r="E114" s="5" t="n">
        <v>155</v>
      </c>
      <c r="F114" s="7" t="inlineStr">
        <is>
          <t>INC</t>
        </is>
      </c>
      <c r="G114" s="5" t="n">
        <v>30</v>
      </c>
      <c r="H114" s="37" t="inlineStr">
        <is>
          <t>AAP → INC</t>
        </is>
      </c>
      <c r="I114" s="5" t="n">
        <v>93</v>
      </c>
      <c r="J114" s="5" t="n">
        <v>248</v>
      </c>
      <c r="K114" s="5" t="n">
        <v>79</v>
      </c>
      <c r="L114" s="5" t="n">
        <v>2</v>
      </c>
      <c r="M114" s="5" t="n">
        <v>474</v>
      </c>
      <c r="N114" s="5" t="n">
        <v>173</v>
      </c>
      <c r="O114" s="5" t="n">
        <v>143</v>
      </c>
      <c r="P114" s="5" t="n">
        <v>51</v>
      </c>
      <c r="Q114" s="5" t="n">
        <v>8</v>
      </c>
      <c r="R114" s="5" t="n">
        <v>421</v>
      </c>
      <c r="S114" s="5" t="n">
        <v>-53</v>
      </c>
      <c r="T114" s="8" t="n">
        <v>-0.1118</v>
      </c>
      <c r="U114" s="5" t="n">
        <v>80</v>
      </c>
      <c r="V114" s="5" t="n">
        <v>-105</v>
      </c>
      <c r="W114" s="5" t="n">
        <v>-28</v>
      </c>
      <c r="X114" s="5" t="n">
        <v>6</v>
      </c>
    </row>
    <row r="115" ht="20" customHeight="1">
      <c r="A115" s="44" t="n">
        <v>114</v>
      </c>
      <c r="B115" s="10" t="inlineStr">
        <is>
          <t>Gagomahal</t>
        </is>
      </c>
      <c r="C115" s="10" t="inlineStr">
        <is>
          <t>ਗੱਗੋਮਾਹਲ</t>
        </is>
      </c>
      <c r="D115" s="14" t="inlineStr">
        <is>
          <t>AAP</t>
        </is>
      </c>
      <c r="E115" s="12" t="n">
        <v>51</v>
      </c>
      <c r="F115" s="14" t="inlineStr">
        <is>
          <t>AAP</t>
        </is>
      </c>
      <c r="G115" s="12" t="n">
        <v>90</v>
      </c>
      <c r="H115" s="32" t="inlineStr">
        <is>
          <t>Retained AAP</t>
        </is>
      </c>
      <c r="I115" s="12" t="n">
        <v>248</v>
      </c>
      <c r="J115" s="12" t="n">
        <v>299</v>
      </c>
      <c r="K115" s="12" t="n">
        <v>156</v>
      </c>
      <c r="L115" s="12" t="n">
        <v>0</v>
      </c>
      <c r="M115" s="12" t="n">
        <v>744</v>
      </c>
      <c r="N115" s="12" t="n">
        <v>164</v>
      </c>
      <c r="O115" s="12" t="n">
        <v>254</v>
      </c>
      <c r="P115" s="12" t="n">
        <v>108</v>
      </c>
      <c r="Q115" s="12" t="n">
        <v>30</v>
      </c>
      <c r="R115" s="12" t="n">
        <v>609</v>
      </c>
      <c r="S115" s="12" t="n">
        <v>-135</v>
      </c>
      <c r="T115" s="15" t="n">
        <v>-0.1815</v>
      </c>
      <c r="U115" s="12" t="n">
        <v>-84</v>
      </c>
      <c r="V115" s="12" t="n">
        <v>-45</v>
      </c>
      <c r="W115" s="12" t="n">
        <v>-48</v>
      </c>
      <c r="X115" s="12" t="n">
        <v>30</v>
      </c>
    </row>
    <row r="116" ht="20" customHeight="1">
      <c r="A116" s="47" t="n">
        <v>115</v>
      </c>
      <c r="B116" s="3" t="inlineStr">
        <is>
          <t>Gagomahal</t>
        </is>
      </c>
      <c r="C116" s="3" t="inlineStr">
        <is>
          <t>ਗੱਗੋਮਾਹਲ</t>
        </is>
      </c>
      <c r="D116" s="7" t="inlineStr">
        <is>
          <t>INC</t>
        </is>
      </c>
      <c r="E116" s="5" t="n">
        <v>114</v>
      </c>
      <c r="F116" s="7" t="inlineStr">
        <is>
          <t>INC</t>
        </is>
      </c>
      <c r="G116" s="5" t="n">
        <v>82</v>
      </c>
      <c r="H116" s="32" t="inlineStr">
        <is>
          <t>Retained INC</t>
        </is>
      </c>
      <c r="I116" s="5" t="n">
        <v>278</v>
      </c>
      <c r="J116" s="5" t="n">
        <v>162</v>
      </c>
      <c r="K116" s="5" t="n">
        <v>164</v>
      </c>
      <c r="L116" s="5" t="n">
        <v>3</v>
      </c>
      <c r="M116" s="5" t="n">
        <v>644</v>
      </c>
      <c r="N116" s="5" t="n">
        <v>216</v>
      </c>
      <c r="O116" s="5" t="n">
        <v>134</v>
      </c>
      <c r="P116" s="5" t="n">
        <v>95</v>
      </c>
      <c r="Q116" s="5" t="n">
        <v>14</v>
      </c>
      <c r="R116" s="5" t="n">
        <v>506</v>
      </c>
      <c r="S116" s="5" t="n">
        <v>-138</v>
      </c>
      <c r="T116" s="8" t="n">
        <v>-0.2143</v>
      </c>
      <c r="U116" s="5" t="n">
        <v>-62</v>
      </c>
      <c r="V116" s="5" t="n">
        <v>-28</v>
      </c>
      <c r="W116" s="5" t="n">
        <v>-69</v>
      </c>
      <c r="X116" s="5" t="n">
        <v>11</v>
      </c>
    </row>
    <row r="117" ht="20" customHeight="1">
      <c r="A117" s="44" t="n">
        <v>116</v>
      </c>
      <c r="B117" s="10" t="inlineStr">
        <is>
          <t>Gagomahal</t>
        </is>
      </c>
      <c r="C117" s="10" t="inlineStr">
        <is>
          <t>ਗੱਗੋਮਾਹਲ</t>
        </is>
      </c>
      <c r="D117" s="14" t="inlineStr">
        <is>
          <t>AAP</t>
        </is>
      </c>
      <c r="E117" s="12" t="n">
        <v>166</v>
      </c>
      <c r="F117" s="14" t="inlineStr">
        <is>
          <t>AAP</t>
        </is>
      </c>
      <c r="G117" s="12" t="n">
        <v>145</v>
      </c>
      <c r="H117" s="32" t="inlineStr">
        <is>
          <t>Retained AAP</t>
        </is>
      </c>
      <c r="I117" s="12" t="n">
        <v>154</v>
      </c>
      <c r="J117" s="12" t="n">
        <v>320</v>
      </c>
      <c r="K117" s="12" t="n">
        <v>111</v>
      </c>
      <c r="L117" s="12" t="n">
        <v>3</v>
      </c>
      <c r="M117" s="12" t="n">
        <v>620</v>
      </c>
      <c r="N117" s="12" t="n">
        <v>130</v>
      </c>
      <c r="O117" s="12" t="n">
        <v>275</v>
      </c>
      <c r="P117" s="12" t="n">
        <v>64</v>
      </c>
      <c r="Q117" s="12" t="n">
        <v>9</v>
      </c>
      <c r="R117" s="12" t="n">
        <v>515</v>
      </c>
      <c r="S117" s="12" t="n">
        <v>-105</v>
      </c>
      <c r="T117" s="15" t="n">
        <v>-0.1694</v>
      </c>
      <c r="U117" s="12" t="n">
        <v>-24</v>
      </c>
      <c r="V117" s="12" t="n">
        <v>-45</v>
      </c>
      <c r="W117" s="12" t="n">
        <v>-47</v>
      </c>
      <c r="X117" s="12" t="n">
        <v>6</v>
      </c>
    </row>
    <row r="118" ht="20" customHeight="1">
      <c r="A118" s="47" t="n">
        <v>117</v>
      </c>
      <c r="B118" s="3" t="inlineStr">
        <is>
          <t>Abusaid</t>
        </is>
      </c>
      <c r="C118" s="3" t="inlineStr">
        <is>
          <t>ਅਬੂਸਈਦ</t>
        </is>
      </c>
      <c r="D118" s="7" t="inlineStr">
        <is>
          <t>AAP</t>
        </is>
      </c>
      <c r="E118" s="5" t="n">
        <v>7</v>
      </c>
      <c r="F118" s="7" t="inlineStr">
        <is>
          <t>INC</t>
        </is>
      </c>
      <c r="G118" s="5" t="n">
        <v>91</v>
      </c>
      <c r="H118" s="37" t="inlineStr">
        <is>
          <t>AAP → INC</t>
        </is>
      </c>
      <c r="I118" s="5" t="n">
        <v>239</v>
      </c>
      <c r="J118" s="5" t="n">
        <v>246</v>
      </c>
      <c r="K118" s="5" t="n">
        <v>109</v>
      </c>
      <c r="L118" s="5" t="n">
        <v>5</v>
      </c>
      <c r="M118" s="5" t="n">
        <v>648</v>
      </c>
      <c r="N118" s="5" t="n">
        <v>266</v>
      </c>
      <c r="O118" s="5" t="n">
        <v>175</v>
      </c>
      <c r="P118" s="5" t="n">
        <v>66</v>
      </c>
      <c r="Q118" s="5" t="n">
        <v>27</v>
      </c>
      <c r="R118" s="5" t="n">
        <v>609</v>
      </c>
      <c r="S118" s="5" t="n">
        <v>-39</v>
      </c>
      <c r="T118" s="8" t="n">
        <v>-0.0602</v>
      </c>
      <c r="U118" s="5" t="n">
        <v>27</v>
      </c>
      <c r="V118" s="5" t="n">
        <v>-71</v>
      </c>
      <c r="W118" s="5" t="n">
        <v>-43</v>
      </c>
      <c r="X118" s="5" t="n">
        <v>22</v>
      </c>
    </row>
    <row r="119" ht="20" customHeight="1">
      <c r="A119" s="44" t="n">
        <v>118</v>
      </c>
      <c r="B119" s="10" t="inlineStr">
        <is>
          <t>Nanoke</t>
        </is>
      </c>
      <c r="C119" s="10" t="inlineStr">
        <is>
          <t>ਨਾਨੋਕੇ</t>
        </is>
      </c>
      <c r="D119" s="14" t="inlineStr">
        <is>
          <t>AAP</t>
        </is>
      </c>
      <c r="E119" s="12" t="n">
        <v>108</v>
      </c>
      <c r="F119" s="14" t="inlineStr">
        <is>
          <t>AAP</t>
        </is>
      </c>
      <c r="G119" s="12" t="n">
        <v>66</v>
      </c>
      <c r="H119" s="32" t="inlineStr">
        <is>
          <t>Retained AAP</t>
        </is>
      </c>
      <c r="I119" s="12" t="n">
        <v>158</v>
      </c>
      <c r="J119" s="12" t="n">
        <v>300</v>
      </c>
      <c r="K119" s="12" t="n">
        <v>192</v>
      </c>
      <c r="L119" s="12" t="n">
        <v>2</v>
      </c>
      <c r="M119" s="12" t="n">
        <v>703</v>
      </c>
      <c r="N119" s="12" t="n">
        <v>131</v>
      </c>
      <c r="O119" s="12" t="n">
        <v>197</v>
      </c>
      <c r="P119" s="12" t="n">
        <v>126</v>
      </c>
      <c r="Q119" s="12" t="n">
        <v>79</v>
      </c>
      <c r="R119" s="12" t="n">
        <v>626</v>
      </c>
      <c r="S119" s="12" t="n">
        <v>-77</v>
      </c>
      <c r="T119" s="15" t="n">
        <v>-0.1095</v>
      </c>
      <c r="U119" s="12" t="n">
        <v>-27</v>
      </c>
      <c r="V119" s="12" t="n">
        <v>-103</v>
      </c>
      <c r="W119" s="12" t="n">
        <v>-66</v>
      </c>
      <c r="X119" s="12" t="n">
        <v>77</v>
      </c>
    </row>
    <row r="120" ht="20" customHeight="1">
      <c r="A120" s="47" t="n">
        <v>119</v>
      </c>
      <c r="B120" s="3" t="inlineStr">
        <is>
          <t>Kuralian</t>
        </is>
      </c>
      <c r="C120" s="3" t="inlineStr">
        <is>
          <t>ਕੁਰਾਲੀਆਂ</t>
        </is>
      </c>
      <c r="D120" s="7" t="inlineStr">
        <is>
          <t>AAP</t>
        </is>
      </c>
      <c r="E120" s="5" t="n">
        <v>87</v>
      </c>
      <c r="F120" s="7" t="inlineStr">
        <is>
          <t>AAP</t>
        </is>
      </c>
      <c r="G120" s="5" t="n">
        <v>72</v>
      </c>
      <c r="H120" s="32" t="inlineStr">
        <is>
          <t>Retained AAP</t>
        </is>
      </c>
      <c r="I120" s="5" t="n">
        <v>210</v>
      </c>
      <c r="J120" s="5" t="n">
        <v>314</v>
      </c>
      <c r="K120" s="5" t="n">
        <v>227</v>
      </c>
      <c r="L120" s="5" t="n">
        <v>2</v>
      </c>
      <c r="M120" s="5" t="n">
        <v>801</v>
      </c>
      <c r="N120" s="5" t="n">
        <v>184</v>
      </c>
      <c r="O120" s="5" t="n">
        <v>256</v>
      </c>
      <c r="P120" s="5" t="n">
        <v>92</v>
      </c>
      <c r="Q120" s="5" t="n">
        <v>116</v>
      </c>
      <c r="R120" s="5" t="n">
        <v>727</v>
      </c>
      <c r="S120" s="5" t="n">
        <v>-74</v>
      </c>
      <c r="T120" s="8" t="n">
        <v>-0.0924</v>
      </c>
      <c r="U120" s="5" t="n">
        <v>-26</v>
      </c>
      <c r="V120" s="5" t="n">
        <v>-58</v>
      </c>
      <c r="W120" s="5" t="n">
        <v>-135</v>
      </c>
      <c r="X120" s="5" t="n">
        <v>114</v>
      </c>
    </row>
    <row r="121" ht="20" customHeight="1">
      <c r="A121" s="44" t="n">
        <v>120</v>
      </c>
      <c r="B121" s="10" t="inlineStr">
        <is>
          <t>Jasharh</t>
        </is>
      </c>
      <c r="C121" s="10" t="inlineStr">
        <is>
          <t>ਜਸੜ੍ਹ</t>
        </is>
      </c>
      <c r="D121" s="14" t="inlineStr">
        <is>
          <t>INC</t>
        </is>
      </c>
      <c r="E121" s="12" t="n">
        <v>78</v>
      </c>
      <c r="F121" s="14" t="inlineStr">
        <is>
          <t>AAP</t>
        </is>
      </c>
      <c r="G121" s="12" t="n">
        <v>23</v>
      </c>
      <c r="H121" s="37" t="inlineStr">
        <is>
          <t>INC → AAP</t>
        </is>
      </c>
      <c r="I121" s="12" t="n">
        <v>276</v>
      </c>
      <c r="J121" s="12" t="n">
        <v>153</v>
      </c>
      <c r="K121" s="12" t="n">
        <v>198</v>
      </c>
      <c r="L121" s="12" t="n">
        <v>2</v>
      </c>
      <c r="M121" s="12" t="n">
        <v>664</v>
      </c>
      <c r="N121" s="12" t="n">
        <v>200</v>
      </c>
      <c r="O121" s="12" t="n">
        <v>223</v>
      </c>
      <c r="P121" s="12" t="n">
        <v>107</v>
      </c>
      <c r="Q121" s="12" t="n">
        <v>15</v>
      </c>
      <c r="R121" s="12" t="n">
        <v>605</v>
      </c>
      <c r="S121" s="12" t="n">
        <v>-59</v>
      </c>
      <c r="T121" s="15" t="n">
        <v>-0.08890000000000001</v>
      </c>
      <c r="U121" s="12" t="n">
        <v>-76</v>
      </c>
      <c r="V121" s="12" t="n">
        <v>70</v>
      </c>
      <c r="W121" s="12" t="n">
        <v>-91</v>
      </c>
      <c r="X121" s="12" t="n">
        <v>13</v>
      </c>
    </row>
    <row r="122" ht="20" customHeight="1">
      <c r="A122" s="47" t="n">
        <v>121</v>
      </c>
      <c r="B122" s="3" t="inlineStr">
        <is>
          <t>Makowal</t>
        </is>
      </c>
      <c r="C122" s="3" t="inlineStr">
        <is>
          <t>ਮਕੋਵਾਲ</t>
        </is>
      </c>
      <c r="D122" s="7" t="inlineStr">
        <is>
          <t>INC</t>
        </is>
      </c>
      <c r="E122" s="5" t="n">
        <v>34</v>
      </c>
      <c r="F122" s="7" t="inlineStr">
        <is>
          <t>INC</t>
        </is>
      </c>
      <c r="G122" s="5" t="n">
        <v>137</v>
      </c>
      <c r="H122" s="32" t="inlineStr">
        <is>
          <t>Retained INC</t>
        </is>
      </c>
      <c r="I122" s="5" t="n">
        <v>275</v>
      </c>
      <c r="J122" s="5" t="n">
        <v>241</v>
      </c>
      <c r="K122" s="5" t="n">
        <v>183</v>
      </c>
      <c r="L122" s="5" t="n">
        <v>26</v>
      </c>
      <c r="M122" s="5" t="n">
        <v>814</v>
      </c>
      <c r="N122" s="5" t="n">
        <v>324</v>
      </c>
      <c r="O122" s="5" t="n">
        <v>187</v>
      </c>
      <c r="P122" s="5" t="n">
        <v>79</v>
      </c>
      <c r="Q122" s="5" t="n">
        <v>51</v>
      </c>
      <c r="R122" s="5" t="n">
        <v>734</v>
      </c>
      <c r="S122" s="5" t="n">
        <v>-80</v>
      </c>
      <c r="T122" s="8" t="n">
        <v>-0.0983</v>
      </c>
      <c r="U122" s="5" t="n">
        <v>49</v>
      </c>
      <c r="V122" s="5" t="n">
        <v>-54</v>
      </c>
      <c r="W122" s="5" t="n">
        <v>-104</v>
      </c>
      <c r="X122" s="5" t="n">
        <v>25</v>
      </c>
    </row>
    <row r="123" ht="20" customHeight="1">
      <c r="A123" s="44" t="n">
        <v>122</v>
      </c>
      <c r="B123" s="10" t="inlineStr">
        <is>
          <t>Sudhar</t>
        </is>
      </c>
      <c r="C123" s="10" t="inlineStr">
        <is>
          <t>ਸੁਧਾਰ</t>
        </is>
      </c>
      <c r="D123" s="14" t="inlineStr">
        <is>
          <t>AAP</t>
        </is>
      </c>
      <c r="E123" s="12" t="n">
        <v>123</v>
      </c>
      <c r="F123" s="14" t="inlineStr">
        <is>
          <t>AAP</t>
        </is>
      </c>
      <c r="G123" s="12" t="n">
        <v>3</v>
      </c>
      <c r="H123" s="32" t="inlineStr">
        <is>
          <t>Retained AAP</t>
        </is>
      </c>
      <c r="I123" s="12" t="n">
        <v>125</v>
      </c>
      <c r="J123" s="12" t="n">
        <v>360</v>
      </c>
      <c r="K123" s="12" t="n">
        <v>237</v>
      </c>
      <c r="L123" s="12" t="n">
        <v>1</v>
      </c>
      <c r="M123" s="12" t="n">
        <v>765</v>
      </c>
      <c r="N123" s="12" t="n">
        <v>235</v>
      </c>
      <c r="O123" s="12" t="n">
        <v>238</v>
      </c>
      <c r="P123" s="12" t="n">
        <v>211</v>
      </c>
      <c r="Q123" s="12" t="n">
        <v>15</v>
      </c>
      <c r="R123" s="12" t="n">
        <v>761</v>
      </c>
      <c r="S123" s="12" t="n">
        <v>-4</v>
      </c>
      <c r="T123" s="15" t="n">
        <v>-0.52</v>
      </c>
      <c r="U123" s="12" t="n">
        <v>110</v>
      </c>
      <c r="V123" s="12" t="n">
        <v>-122</v>
      </c>
      <c r="W123" s="12" t="n">
        <v>-26</v>
      </c>
      <c r="X123" s="12" t="n">
        <v>14</v>
      </c>
    </row>
    <row r="124" ht="20" customHeight="1">
      <c r="A124" s="47" t="n">
        <v>123</v>
      </c>
      <c r="B124" s="3" t="inlineStr">
        <is>
          <t>Urdhan</t>
        </is>
      </c>
      <c r="C124" s="3" t="inlineStr">
        <is>
          <t>ਉਰਧਨ</t>
        </is>
      </c>
      <c r="D124" s="7" t="inlineStr">
        <is>
          <t>AAP</t>
        </is>
      </c>
      <c r="E124" s="5" t="n">
        <v>50</v>
      </c>
      <c r="F124" s="7" t="inlineStr">
        <is>
          <t>INC</t>
        </is>
      </c>
      <c r="G124" s="5" t="n">
        <v>69</v>
      </c>
      <c r="H124" s="37" t="inlineStr">
        <is>
          <t>AAP → INC</t>
        </is>
      </c>
      <c r="I124" s="5" t="n">
        <v>114</v>
      </c>
      <c r="J124" s="5" t="n">
        <v>219</v>
      </c>
      <c r="K124" s="5" t="n">
        <v>169</v>
      </c>
      <c r="L124" s="5" t="n">
        <v>0</v>
      </c>
      <c r="M124" s="5" t="n">
        <v>526</v>
      </c>
      <c r="N124" s="5" t="n">
        <v>193</v>
      </c>
      <c r="O124" s="5" t="n">
        <v>124</v>
      </c>
      <c r="P124" s="5" t="n">
        <v>100</v>
      </c>
      <c r="Q124" s="5" t="n">
        <v>19</v>
      </c>
      <c r="R124" s="5" t="n">
        <v>481</v>
      </c>
      <c r="S124" s="5" t="n">
        <v>-45</v>
      </c>
      <c r="T124" s="8" t="n">
        <v>-0.08560000000000001</v>
      </c>
      <c r="U124" s="5" t="n">
        <v>79</v>
      </c>
      <c r="V124" s="5" t="n">
        <v>-95</v>
      </c>
      <c r="W124" s="5" t="n">
        <v>-69</v>
      </c>
      <c r="X124" s="5" t="n">
        <v>19</v>
      </c>
    </row>
    <row r="125" ht="20" customHeight="1">
      <c r="A125" s="44" t="n">
        <v>124</v>
      </c>
      <c r="B125" s="10" t="inlineStr">
        <is>
          <t>Khanowal</t>
        </is>
      </c>
      <c r="C125" s="10" t="inlineStr">
        <is>
          <t>ਖਾਨੋਵਾਲ</t>
        </is>
      </c>
      <c r="D125" s="14" t="inlineStr">
        <is>
          <t>AAP</t>
        </is>
      </c>
      <c r="E125" s="12" t="n">
        <v>177</v>
      </c>
      <c r="F125" s="14" t="inlineStr">
        <is>
          <t>INC</t>
        </is>
      </c>
      <c r="G125" s="12" t="n">
        <v>21</v>
      </c>
      <c r="H125" s="37" t="inlineStr">
        <is>
          <t>AAP → INC</t>
        </is>
      </c>
      <c r="I125" s="12" t="n">
        <v>226</v>
      </c>
      <c r="J125" s="12" t="n">
        <v>403</v>
      </c>
      <c r="K125" s="12" t="n">
        <v>222</v>
      </c>
      <c r="L125" s="12" t="n">
        <v>1</v>
      </c>
      <c r="M125" s="12" t="n">
        <v>890</v>
      </c>
      <c r="N125" s="12" t="n">
        <v>246</v>
      </c>
      <c r="O125" s="12" t="n">
        <v>225</v>
      </c>
      <c r="P125" s="12" t="n">
        <v>89</v>
      </c>
      <c r="Q125" s="12" t="n">
        <v>105</v>
      </c>
      <c r="R125" s="12" t="n">
        <v>733</v>
      </c>
      <c r="S125" s="12" t="n">
        <v>-157</v>
      </c>
      <c r="T125" s="15" t="n">
        <v>-0.1764</v>
      </c>
      <c r="U125" s="12" t="n">
        <v>20</v>
      </c>
      <c r="V125" s="12" t="n">
        <v>-178</v>
      </c>
      <c r="W125" s="12" t="n">
        <v>-133</v>
      </c>
      <c r="X125" s="12" t="n">
        <v>104</v>
      </c>
    </row>
    <row r="126" ht="20" customHeight="1">
      <c r="A126" s="47" t="n">
        <v>125</v>
      </c>
      <c r="B126" s="3" t="inlineStr">
        <is>
          <t>Diyal Bhrang</t>
        </is>
      </c>
      <c r="C126" s="3" t="inlineStr">
        <is>
          <t>ਦਿਆਲ ਭੜੰਗ</t>
        </is>
      </c>
      <c r="D126" s="7" t="inlineStr">
        <is>
          <t>AAP</t>
        </is>
      </c>
      <c r="E126" s="5" t="n">
        <v>49</v>
      </c>
      <c r="F126" s="7" t="inlineStr">
        <is>
          <t>AAP</t>
        </is>
      </c>
      <c r="G126" s="5" t="n">
        <v>51</v>
      </c>
      <c r="H126" s="32" t="inlineStr">
        <is>
          <t>Retained AAP</t>
        </is>
      </c>
      <c r="I126" s="5" t="n">
        <v>158</v>
      </c>
      <c r="J126" s="5" t="n">
        <v>231</v>
      </c>
      <c r="K126" s="5" t="n">
        <v>182</v>
      </c>
      <c r="L126" s="5" t="n">
        <v>2</v>
      </c>
      <c r="M126" s="5" t="n">
        <v>630</v>
      </c>
      <c r="N126" s="5" t="n">
        <v>153</v>
      </c>
      <c r="O126" s="5" t="n">
        <v>204</v>
      </c>
      <c r="P126" s="5" t="n">
        <v>97</v>
      </c>
      <c r="Q126" s="5" t="n">
        <v>21</v>
      </c>
      <c r="R126" s="5" t="n">
        <v>529</v>
      </c>
      <c r="S126" s="5" t="n">
        <v>-101</v>
      </c>
      <c r="T126" s="8" t="n">
        <v>-0.1603</v>
      </c>
      <c r="U126" s="5" t="n">
        <v>-5</v>
      </c>
      <c r="V126" s="5" t="n">
        <v>-27</v>
      </c>
      <c r="W126" s="5" t="n">
        <v>-85</v>
      </c>
      <c r="X126" s="5" t="n">
        <v>19</v>
      </c>
    </row>
    <row r="127" ht="20" customHeight="1">
      <c r="A127" s="44" t="n">
        <v>126</v>
      </c>
      <c r="B127" s="10" t="inlineStr">
        <is>
          <t>Gore Nangal</t>
        </is>
      </c>
      <c r="C127" s="10" t="inlineStr">
        <is>
          <t>ਗੋਰੇ ਨੰਗਲ</t>
        </is>
      </c>
      <c r="D127" s="14" t="inlineStr">
        <is>
          <t>AAP</t>
        </is>
      </c>
      <c r="E127" s="12" t="n">
        <v>43</v>
      </c>
      <c r="F127" s="14" t="inlineStr">
        <is>
          <t>INC</t>
        </is>
      </c>
      <c r="G127" s="12" t="n">
        <v>26</v>
      </c>
      <c r="H127" s="37" t="inlineStr">
        <is>
          <t>AAP → INC</t>
        </is>
      </c>
      <c r="I127" s="12" t="n">
        <v>159</v>
      </c>
      <c r="J127" s="12" t="n">
        <v>202</v>
      </c>
      <c r="K127" s="12" t="n">
        <v>156</v>
      </c>
      <c r="L127" s="12" t="n">
        <v>0</v>
      </c>
      <c r="M127" s="12" t="n">
        <v>534</v>
      </c>
      <c r="N127" s="12" t="n">
        <v>170</v>
      </c>
      <c r="O127" s="12" t="n">
        <v>144</v>
      </c>
      <c r="P127" s="12" t="n">
        <v>68</v>
      </c>
      <c r="Q127" s="12" t="n">
        <v>94</v>
      </c>
      <c r="R127" s="12" t="n">
        <v>520</v>
      </c>
      <c r="S127" s="12" t="n">
        <v>-14</v>
      </c>
      <c r="T127" s="15" t="n">
        <v>-0.0262</v>
      </c>
      <c r="U127" s="12" t="n">
        <v>11</v>
      </c>
      <c r="V127" s="12" t="n">
        <v>-58</v>
      </c>
      <c r="W127" s="12" t="n">
        <v>-88</v>
      </c>
      <c r="X127" s="12" t="n">
        <v>94</v>
      </c>
    </row>
    <row r="128" ht="20" customHeight="1">
      <c r="A128" s="47" t="n">
        <v>127</v>
      </c>
      <c r="B128" s="3" t="inlineStr">
        <is>
          <t>Matte Nangal</t>
        </is>
      </c>
      <c r="C128" s="3" t="inlineStr">
        <is>
          <t>ਮੱਤੇ ਨੰਗਲ</t>
        </is>
      </c>
      <c r="D128" s="7" t="inlineStr">
        <is>
          <t>INC</t>
        </is>
      </c>
      <c r="E128" s="5" t="n">
        <v>59</v>
      </c>
      <c r="F128" s="7" t="inlineStr">
        <is>
          <t>INC</t>
        </is>
      </c>
      <c r="G128" s="5" t="n">
        <v>64</v>
      </c>
      <c r="H128" s="32" t="inlineStr">
        <is>
          <t>Retained INC</t>
        </is>
      </c>
      <c r="I128" s="5" t="n">
        <v>352</v>
      </c>
      <c r="J128" s="5" t="n">
        <v>233</v>
      </c>
      <c r="K128" s="5" t="n">
        <v>293</v>
      </c>
      <c r="L128" s="5" t="n">
        <v>0</v>
      </c>
      <c r="M128" s="5" t="n">
        <v>908</v>
      </c>
      <c r="N128" s="5" t="n">
        <v>320</v>
      </c>
      <c r="O128" s="5" t="n">
        <v>256</v>
      </c>
      <c r="P128" s="5" t="n">
        <v>72</v>
      </c>
      <c r="Q128" s="5" t="n">
        <v>40</v>
      </c>
      <c r="R128" s="5" t="n">
        <v>796</v>
      </c>
      <c r="S128" s="5" t="n">
        <v>-112</v>
      </c>
      <c r="T128" s="8" t="n">
        <v>-0.1233</v>
      </c>
      <c r="U128" s="5" t="n">
        <v>-32</v>
      </c>
      <c r="V128" s="5" t="n">
        <v>23</v>
      </c>
      <c r="W128" s="5" t="n">
        <v>-221</v>
      </c>
      <c r="X128" s="5" t="n">
        <v>40</v>
      </c>
    </row>
    <row r="129" ht="20" customHeight="1">
      <c r="A129" s="44" t="n">
        <v>128</v>
      </c>
      <c r="B129" s="10" t="inlineStr">
        <is>
          <t>Talwandi Bhagwan</t>
        </is>
      </c>
      <c r="C129" s="10" t="inlineStr">
        <is>
          <t>ਤਲਵੰਡੀ ਭਗਵਾਨ</t>
        </is>
      </c>
      <c r="D129" s="14" t="inlineStr">
        <is>
          <t>SAD</t>
        </is>
      </c>
      <c r="E129" s="12" t="n">
        <v>31</v>
      </c>
      <c r="F129" s="14" t="inlineStr">
        <is>
          <t>INC</t>
        </is>
      </c>
      <c r="G129" s="12" t="n">
        <v>94</v>
      </c>
      <c r="H129" s="37" t="inlineStr">
        <is>
          <t>SAD → INC</t>
        </is>
      </c>
      <c r="I129" s="12" t="n">
        <v>254</v>
      </c>
      <c r="J129" s="12" t="n">
        <v>231</v>
      </c>
      <c r="K129" s="12" t="n">
        <v>285</v>
      </c>
      <c r="L129" s="12" t="n">
        <v>1</v>
      </c>
      <c r="M129" s="12" t="n">
        <v>805</v>
      </c>
      <c r="N129" s="12" t="n">
        <v>308</v>
      </c>
      <c r="O129" s="12" t="n">
        <v>214</v>
      </c>
      <c r="P129" s="12" t="n">
        <v>144</v>
      </c>
      <c r="Q129" s="12" t="n">
        <v>12</v>
      </c>
      <c r="R129" s="12" t="n">
        <v>742</v>
      </c>
      <c r="S129" s="12" t="n">
        <v>-63</v>
      </c>
      <c r="T129" s="15" t="n">
        <v>-0.07829999999999999</v>
      </c>
      <c r="U129" s="12" t="n">
        <v>54</v>
      </c>
      <c r="V129" s="12" t="n">
        <v>-17</v>
      </c>
      <c r="W129" s="12" t="n">
        <v>-141</v>
      </c>
      <c r="X129" s="12" t="n">
        <v>11</v>
      </c>
    </row>
    <row r="130" ht="20" customHeight="1">
      <c r="A130" s="47" t="n">
        <v>129</v>
      </c>
      <c r="B130" s="3" t="inlineStr">
        <is>
          <t>Madhu Chhanga</t>
        </is>
      </c>
      <c r="C130" s="3" t="inlineStr">
        <is>
          <t>ਮਾਧੋ ਛਾਂਗਾ</t>
        </is>
      </c>
      <c r="D130" s="7" t="inlineStr">
        <is>
          <t>INC</t>
        </is>
      </c>
      <c r="E130" s="5" t="n">
        <v>88</v>
      </c>
      <c r="F130" s="7" t="inlineStr">
        <is>
          <t>INC</t>
        </is>
      </c>
      <c r="G130" s="5" t="n">
        <v>11</v>
      </c>
      <c r="H130" s="32" t="inlineStr">
        <is>
          <t>Retained INC</t>
        </is>
      </c>
      <c r="I130" s="5" t="n">
        <v>360</v>
      </c>
      <c r="J130" s="5" t="n">
        <v>125</v>
      </c>
      <c r="K130" s="5" t="n">
        <v>272</v>
      </c>
      <c r="L130" s="5" t="n">
        <v>1</v>
      </c>
      <c r="M130" s="5" t="n">
        <v>783</v>
      </c>
      <c r="N130" s="5" t="n">
        <v>257</v>
      </c>
      <c r="O130" s="5" t="n">
        <v>246</v>
      </c>
      <c r="P130" s="5" t="n">
        <v>93</v>
      </c>
      <c r="Q130" s="5" t="n">
        <v>65</v>
      </c>
      <c r="R130" s="5" t="n">
        <v>714</v>
      </c>
      <c r="S130" s="5" t="n">
        <v>-69</v>
      </c>
      <c r="T130" s="8" t="n">
        <v>-0.08810000000000001</v>
      </c>
      <c r="U130" s="5" t="n">
        <v>-103</v>
      </c>
      <c r="V130" s="5" t="n">
        <v>121</v>
      </c>
      <c r="W130" s="5" t="n">
        <v>-179</v>
      </c>
      <c r="X130" s="5" t="n">
        <v>64</v>
      </c>
    </row>
    <row r="131" ht="20" customHeight="1">
      <c r="A131" s="44" t="n">
        <v>130</v>
      </c>
      <c r="B131" s="10" t="inlineStr">
        <is>
          <t>Boharh Wala</t>
        </is>
      </c>
      <c r="C131" s="10" t="inlineStr">
        <is>
          <t>ਬੋਹੜ ਵਾਲਾ</t>
        </is>
      </c>
      <c r="D131" s="14" t="inlineStr">
        <is>
          <t>SAD</t>
        </is>
      </c>
      <c r="E131" s="12" t="n">
        <v>288</v>
      </c>
      <c r="F131" s="14" t="inlineStr">
        <is>
          <t>AAP</t>
        </is>
      </c>
      <c r="G131" s="12" t="n">
        <v>184</v>
      </c>
      <c r="H131" s="37" t="inlineStr">
        <is>
          <t>SAD → AAP</t>
        </is>
      </c>
      <c r="I131" s="12" t="n">
        <v>95</v>
      </c>
      <c r="J131" s="12" t="n">
        <v>110</v>
      </c>
      <c r="K131" s="12" t="n">
        <v>398</v>
      </c>
      <c r="L131" s="12" t="n">
        <v>0</v>
      </c>
      <c r="M131" s="12" t="n">
        <v>630</v>
      </c>
      <c r="N131" s="12" t="n">
        <v>208</v>
      </c>
      <c r="O131" s="12" t="n">
        <v>392</v>
      </c>
      <c r="P131" s="12" t="n">
        <v>46</v>
      </c>
      <c r="Q131" s="12" t="n">
        <v>6</v>
      </c>
      <c r="R131" s="12" t="n">
        <v>659</v>
      </c>
      <c r="S131" s="12" t="n">
        <v>29</v>
      </c>
      <c r="T131" s="15" t="n">
        <v>0.046</v>
      </c>
      <c r="U131" s="12" t="n">
        <v>113</v>
      </c>
      <c r="V131" s="12" t="n">
        <v>282</v>
      </c>
      <c r="W131" s="12" t="n">
        <v>-352</v>
      </c>
      <c r="X131" s="12" t="n">
        <v>6</v>
      </c>
    </row>
    <row r="132" ht="20" customHeight="1">
      <c r="A132" s="47" t="n">
        <v>131</v>
      </c>
      <c r="B132" s="3" t="inlineStr">
        <is>
          <t>Talwandi Nahar</t>
        </is>
      </c>
      <c r="C132" s="3" t="inlineStr">
        <is>
          <t>ਤਲਵੰਡੀ ਨਾਹਰ</t>
        </is>
      </c>
      <c r="D132" s="7" t="inlineStr">
        <is>
          <t>AAP</t>
        </is>
      </c>
      <c r="E132" s="5" t="n">
        <v>58</v>
      </c>
      <c r="F132" s="7" t="inlineStr">
        <is>
          <t>INC</t>
        </is>
      </c>
      <c r="G132" s="5" t="n">
        <v>251</v>
      </c>
      <c r="H132" s="37" t="inlineStr">
        <is>
          <t>AAP → INC</t>
        </is>
      </c>
      <c r="I132" s="5" t="n">
        <v>288</v>
      </c>
      <c r="J132" s="5" t="n">
        <v>346</v>
      </c>
      <c r="K132" s="5" t="n">
        <v>131</v>
      </c>
      <c r="L132" s="5" t="n">
        <v>1</v>
      </c>
      <c r="M132" s="5" t="n">
        <v>809</v>
      </c>
      <c r="N132" s="5" t="n">
        <v>474</v>
      </c>
      <c r="O132" s="5" t="n">
        <v>223</v>
      </c>
      <c r="P132" s="5" t="n">
        <v>54</v>
      </c>
      <c r="Q132" s="5" t="n">
        <v>61</v>
      </c>
      <c r="R132" s="5" t="n">
        <v>866</v>
      </c>
      <c r="S132" s="5" t="n">
        <v>57</v>
      </c>
      <c r="T132" s="8" t="n">
        <v>0.07049999999999999</v>
      </c>
      <c r="U132" s="5" t="n">
        <v>186</v>
      </c>
      <c r="V132" s="5" t="n">
        <v>-123</v>
      </c>
      <c r="W132" s="5" t="n">
        <v>-77</v>
      </c>
      <c r="X132" s="5" t="n">
        <v>60</v>
      </c>
    </row>
    <row r="133" ht="20" customHeight="1">
      <c r="A133" s="44" t="n">
        <v>132</v>
      </c>
      <c r="B133" s="10" t="inlineStr">
        <is>
          <t>Balbawa</t>
        </is>
      </c>
      <c r="C133" s="10" t="inlineStr">
        <is>
          <t>ਬਲਬਾਵਾ</t>
        </is>
      </c>
      <c r="D133" s="14" t="inlineStr">
        <is>
          <t>AAP</t>
        </is>
      </c>
      <c r="E133" s="12" t="n">
        <v>166</v>
      </c>
      <c r="F133" s="14" t="inlineStr">
        <is>
          <t>AAP</t>
        </is>
      </c>
      <c r="G133" s="12" t="n">
        <v>67</v>
      </c>
      <c r="H133" s="32" t="inlineStr">
        <is>
          <t>Retained AAP</t>
        </is>
      </c>
      <c r="I133" s="12" t="n">
        <v>168</v>
      </c>
      <c r="J133" s="12" t="n">
        <v>361</v>
      </c>
      <c r="K133" s="12" t="n">
        <v>195</v>
      </c>
      <c r="L133" s="12" t="n">
        <v>4</v>
      </c>
      <c r="M133" s="12" t="n">
        <v>755</v>
      </c>
      <c r="N133" s="12" t="n">
        <v>144</v>
      </c>
      <c r="O133" s="12" t="n">
        <v>293</v>
      </c>
      <c r="P133" s="12" t="n">
        <v>226</v>
      </c>
      <c r="Q133" s="12" t="n">
        <v>26</v>
      </c>
      <c r="R133" s="12" t="n">
        <v>722</v>
      </c>
      <c r="S133" s="12" t="n">
        <v>-33</v>
      </c>
      <c r="T133" s="15" t="n">
        <v>-0.0437</v>
      </c>
      <c r="U133" s="12" t="n">
        <v>-24</v>
      </c>
      <c r="V133" s="12" t="n">
        <v>-68</v>
      </c>
      <c r="W133" s="12" t="n">
        <v>31</v>
      </c>
      <c r="X133" s="12" t="n">
        <v>22</v>
      </c>
    </row>
    <row r="134" ht="20" customHeight="1">
      <c r="A134" s="47" t="n">
        <v>133</v>
      </c>
      <c r="B134" s="3" t="inlineStr">
        <is>
          <t>Nizam Pura</t>
        </is>
      </c>
      <c r="C134" s="3" t="inlineStr">
        <is>
          <t>ਨਿਜ਼ਾਮ ਪੁਰਾ</t>
        </is>
      </c>
      <c r="D134" s="7" t="inlineStr">
        <is>
          <t>INC</t>
        </is>
      </c>
      <c r="E134" s="5" t="n">
        <v>27</v>
      </c>
      <c r="F134" s="7" t="inlineStr">
        <is>
          <t>AAP</t>
        </is>
      </c>
      <c r="G134" s="5" t="n">
        <v>35</v>
      </c>
      <c r="H134" s="37" t="inlineStr">
        <is>
          <t>INC → AAP</t>
        </is>
      </c>
      <c r="I134" s="5" t="n">
        <v>135</v>
      </c>
      <c r="J134" s="5" t="n">
        <v>28</v>
      </c>
      <c r="K134" s="5" t="n">
        <v>108</v>
      </c>
      <c r="L134" s="5" t="n">
        <v>1</v>
      </c>
      <c r="M134" s="5" t="n">
        <v>280</v>
      </c>
      <c r="N134" s="5" t="n">
        <v>91</v>
      </c>
      <c r="O134" s="5" t="n">
        <v>126</v>
      </c>
      <c r="P134" s="5" t="n">
        <v>39</v>
      </c>
      <c r="Q134" s="5" t="n">
        <v>7</v>
      </c>
      <c r="R134" s="5" t="n">
        <v>282</v>
      </c>
      <c r="S134" s="5" t="n">
        <v>2</v>
      </c>
      <c r="T134" s="8" t="n">
        <v>0.71</v>
      </c>
      <c r="U134" s="5" t="n">
        <v>-44</v>
      </c>
      <c r="V134" s="5" t="n">
        <v>98</v>
      </c>
      <c r="W134" s="5" t="n">
        <v>-69</v>
      </c>
      <c r="X134" s="5" t="n">
        <v>6</v>
      </c>
    </row>
    <row r="135" ht="20" customHeight="1">
      <c r="A135" s="44" t="n">
        <v>134</v>
      </c>
      <c r="B135" s="10" t="inlineStr">
        <is>
          <t>Nawan Pind</t>
        </is>
      </c>
      <c r="C135" s="10" t="inlineStr">
        <is>
          <t>ਨਵਾਂ ਪਿੰਡ</t>
        </is>
      </c>
      <c r="D135" s="14" t="inlineStr">
        <is>
          <t>SAD</t>
        </is>
      </c>
      <c r="E135" s="12" t="n">
        <v>145</v>
      </c>
      <c r="F135" s="14" t="inlineStr">
        <is>
          <t>AAP</t>
        </is>
      </c>
      <c r="G135" s="12" t="n">
        <v>251</v>
      </c>
      <c r="H135" s="37" t="inlineStr">
        <is>
          <t>SAD → AAP</t>
        </is>
      </c>
      <c r="I135" s="12" t="n">
        <v>145</v>
      </c>
      <c r="J135" s="12" t="n">
        <v>149</v>
      </c>
      <c r="K135" s="12" t="n">
        <v>294</v>
      </c>
      <c r="L135" s="12" t="n">
        <v>3</v>
      </c>
      <c r="M135" s="12" t="n">
        <v>607</v>
      </c>
      <c r="N135" s="12" t="n">
        <v>116</v>
      </c>
      <c r="O135" s="12" t="n">
        <v>367</v>
      </c>
      <c r="P135" s="12" t="n">
        <v>45</v>
      </c>
      <c r="Q135" s="12" t="n">
        <v>8</v>
      </c>
      <c r="R135" s="12" t="n">
        <v>567</v>
      </c>
      <c r="S135" s="12" t="n">
        <v>-40</v>
      </c>
      <c r="T135" s="15" t="n">
        <v>-0.0659</v>
      </c>
      <c r="U135" s="12" t="n">
        <v>-29</v>
      </c>
      <c r="V135" s="12" t="n">
        <v>218</v>
      </c>
      <c r="W135" s="12" t="n">
        <v>-249</v>
      </c>
      <c r="X135" s="12" t="n">
        <v>5</v>
      </c>
    </row>
    <row r="136" ht="20" customHeight="1">
      <c r="A136" s="47" t="n">
        <v>135</v>
      </c>
      <c r="B136" s="3" t="inlineStr">
        <is>
          <t>Nawan Pind</t>
        </is>
      </c>
      <c r="C136" s="3" t="inlineStr">
        <is>
          <t>ਨਵਾਂ ਪਿੰਡ</t>
        </is>
      </c>
      <c r="D136" s="7" t="inlineStr">
        <is>
          <t>AAP</t>
        </is>
      </c>
      <c r="E136" s="5" t="n">
        <v>31</v>
      </c>
      <c r="F136" s="7" t="inlineStr">
        <is>
          <t>AAP</t>
        </is>
      </c>
      <c r="G136" s="5" t="n">
        <v>78</v>
      </c>
      <c r="H136" s="32" t="inlineStr">
        <is>
          <t>Retained AAP</t>
        </is>
      </c>
      <c r="I136" s="5" t="n">
        <v>56</v>
      </c>
      <c r="J136" s="5" t="n">
        <v>138</v>
      </c>
      <c r="K136" s="5" t="n">
        <v>107</v>
      </c>
      <c r="L136" s="5" t="n">
        <v>2</v>
      </c>
      <c r="M136" s="5" t="n">
        <v>327</v>
      </c>
      <c r="N136" s="5" t="n">
        <v>56</v>
      </c>
      <c r="O136" s="5" t="n">
        <v>134</v>
      </c>
      <c r="P136" s="5" t="n">
        <v>24</v>
      </c>
      <c r="Q136" s="5" t="n">
        <v>5</v>
      </c>
      <c r="R136" s="5" t="n">
        <v>256</v>
      </c>
      <c r="S136" s="5" t="n">
        <v>-71</v>
      </c>
      <c r="T136" s="8" t="n">
        <v>-0.2171</v>
      </c>
      <c r="U136" s="5" t="n">
        <v>0</v>
      </c>
      <c r="V136" s="5" t="n">
        <v>-4</v>
      </c>
      <c r="W136" s="5" t="n">
        <v>-83</v>
      </c>
      <c r="X136" s="5" t="n">
        <v>3</v>
      </c>
    </row>
    <row r="137" ht="20" customHeight="1">
      <c r="A137" s="44" t="n">
        <v>136</v>
      </c>
      <c r="B137" s="10" t="inlineStr">
        <is>
          <t>Hardo Putli</t>
        </is>
      </c>
      <c r="C137" s="10" t="inlineStr">
        <is>
          <t>ਹਰਦੋ ਪੁਤਲੀ</t>
        </is>
      </c>
      <c r="D137" s="14" t="inlineStr">
        <is>
          <t>AAP</t>
        </is>
      </c>
      <c r="E137" s="12" t="n">
        <v>83</v>
      </c>
      <c r="F137" s="14" t="inlineStr">
        <is>
          <t>AAP</t>
        </is>
      </c>
      <c r="G137" s="12" t="n">
        <v>90</v>
      </c>
      <c r="H137" s="32" t="inlineStr">
        <is>
          <t>Retained AAP</t>
        </is>
      </c>
      <c r="I137" s="12" t="n">
        <v>177</v>
      </c>
      <c r="J137" s="12" t="n">
        <v>260</v>
      </c>
      <c r="K137" s="12" t="n">
        <v>170</v>
      </c>
      <c r="L137" s="12" t="n">
        <v>1</v>
      </c>
      <c r="M137" s="12" t="n">
        <v>641</v>
      </c>
      <c r="N137" s="12" t="n">
        <v>140</v>
      </c>
      <c r="O137" s="12" t="n">
        <v>230</v>
      </c>
      <c r="P137" s="12" t="n">
        <v>121</v>
      </c>
      <c r="Q137" s="12" t="n">
        <v>34</v>
      </c>
      <c r="R137" s="12" t="n">
        <v>631</v>
      </c>
      <c r="S137" s="12" t="n">
        <v>-10</v>
      </c>
      <c r="T137" s="15" t="n">
        <v>-0.0156</v>
      </c>
      <c r="U137" s="12" t="n">
        <v>-37</v>
      </c>
      <c r="V137" s="12" t="n">
        <v>-30</v>
      </c>
      <c r="W137" s="12" t="n">
        <v>-49</v>
      </c>
      <c r="X137" s="12" t="n">
        <v>33</v>
      </c>
    </row>
    <row r="138" ht="20" customHeight="1">
      <c r="A138" s="47" t="n">
        <v>137</v>
      </c>
      <c r="B138" s="3" t="inlineStr">
        <is>
          <t>Kotla Sadar</t>
        </is>
      </c>
      <c r="C138" s="3" t="inlineStr">
        <is>
          <t>ਕੋਟਲਾ ਸਦਰ</t>
        </is>
      </c>
      <c r="D138" s="7" t="inlineStr">
        <is>
          <t>SAD</t>
        </is>
      </c>
      <c r="E138" s="5" t="n">
        <v>9</v>
      </c>
      <c r="F138" s="7" t="inlineStr">
        <is>
          <t>AAP</t>
        </is>
      </c>
      <c r="G138" s="5" t="n">
        <v>109</v>
      </c>
      <c r="H138" s="37" t="inlineStr">
        <is>
          <t>SAD → AAP</t>
        </is>
      </c>
      <c r="I138" s="5" t="n">
        <v>120</v>
      </c>
      <c r="J138" s="5" t="n">
        <v>99</v>
      </c>
      <c r="K138" s="5" t="n">
        <v>129</v>
      </c>
      <c r="L138" s="5" t="n">
        <v>0</v>
      </c>
      <c r="M138" s="5" t="n">
        <v>357</v>
      </c>
      <c r="N138" s="5" t="n">
        <v>73</v>
      </c>
      <c r="O138" s="5" t="n">
        <v>182</v>
      </c>
      <c r="P138" s="5" t="n">
        <v>8</v>
      </c>
      <c r="Q138" s="5" t="n">
        <v>18</v>
      </c>
      <c r="R138" s="5" t="n">
        <v>328</v>
      </c>
      <c r="S138" s="5" t="n">
        <v>-29</v>
      </c>
      <c r="T138" s="8" t="n">
        <v>-0.08119999999999999</v>
      </c>
      <c r="U138" s="5" t="n">
        <v>-47</v>
      </c>
      <c r="V138" s="5" t="n">
        <v>83</v>
      </c>
      <c r="W138" s="5" t="n">
        <v>-121</v>
      </c>
      <c r="X138" s="5" t="n">
        <v>18</v>
      </c>
    </row>
    <row r="139" ht="20" customHeight="1">
      <c r="A139" s="44" t="n">
        <v>138</v>
      </c>
      <c r="B139" s="10" t="inlineStr">
        <is>
          <t>Chakk Sikander</t>
        </is>
      </c>
      <c r="C139" s="10" t="inlineStr">
        <is>
          <t>ਚੱਕ ਸਿਕੰਦਰ</t>
        </is>
      </c>
      <c r="D139" s="14" t="inlineStr">
        <is>
          <t>AAP</t>
        </is>
      </c>
      <c r="E139" s="12" t="n">
        <v>179</v>
      </c>
      <c r="F139" s="14" t="inlineStr">
        <is>
          <t>AAP</t>
        </is>
      </c>
      <c r="G139" s="12" t="n">
        <v>10</v>
      </c>
      <c r="H139" s="32" t="inlineStr">
        <is>
          <t>Retained AAP</t>
        </is>
      </c>
      <c r="I139" s="12" t="n">
        <v>196</v>
      </c>
      <c r="J139" s="12" t="n">
        <v>375</v>
      </c>
      <c r="K139" s="12" t="n">
        <v>181</v>
      </c>
      <c r="L139" s="12" t="n">
        <v>3</v>
      </c>
      <c r="M139" s="12" t="n">
        <v>810</v>
      </c>
      <c r="N139" s="12" t="n">
        <v>110</v>
      </c>
      <c r="O139" s="12" t="n">
        <v>268</v>
      </c>
      <c r="P139" s="12" t="n">
        <v>258</v>
      </c>
      <c r="Q139" s="12" t="n">
        <v>32</v>
      </c>
      <c r="R139" s="12" t="n">
        <v>715</v>
      </c>
      <c r="S139" s="12" t="n">
        <v>-95</v>
      </c>
      <c r="T139" s="15" t="n">
        <v>-0.1173</v>
      </c>
      <c r="U139" s="12" t="n">
        <v>-86</v>
      </c>
      <c r="V139" s="12" t="n">
        <v>-107</v>
      </c>
      <c r="W139" s="12" t="n">
        <v>77</v>
      </c>
      <c r="X139" s="12" t="n">
        <v>29</v>
      </c>
    </row>
    <row r="140" ht="20" customHeight="1">
      <c r="A140" s="47" t="n">
        <v>139</v>
      </c>
      <c r="B140" s="3" t="inlineStr">
        <is>
          <t>Mohan Bhandari</t>
        </is>
      </c>
      <c r="C140" s="3" t="inlineStr">
        <is>
          <t>ਮੋਹਨ ਭੰਡਾਰੀ</t>
        </is>
      </c>
      <c r="D140" s="7" t="inlineStr">
        <is>
          <t>AAP</t>
        </is>
      </c>
      <c r="E140" s="5" t="n">
        <v>71</v>
      </c>
      <c r="F140" s="7" t="inlineStr">
        <is>
          <t>AAP</t>
        </is>
      </c>
      <c r="G140" s="5" t="n">
        <v>131</v>
      </c>
      <c r="H140" s="32" t="inlineStr">
        <is>
          <t>Retained AAP</t>
        </is>
      </c>
      <c r="I140" s="5" t="n">
        <v>61</v>
      </c>
      <c r="J140" s="5" t="n">
        <v>276</v>
      </c>
      <c r="K140" s="5" t="n">
        <v>205</v>
      </c>
      <c r="L140" s="5" t="n">
        <v>1</v>
      </c>
      <c r="M140" s="5" t="n">
        <v>584</v>
      </c>
      <c r="N140" s="5" t="n">
        <v>75</v>
      </c>
      <c r="O140" s="5" t="n">
        <v>236</v>
      </c>
      <c r="P140" s="5" t="n">
        <v>105</v>
      </c>
      <c r="Q140" s="5" t="n">
        <v>8</v>
      </c>
      <c r="R140" s="5" t="n">
        <v>471</v>
      </c>
      <c r="S140" s="5" t="n">
        <v>-113</v>
      </c>
      <c r="T140" s="8" t="n">
        <v>-0.1935</v>
      </c>
      <c r="U140" s="5" t="n">
        <v>14</v>
      </c>
      <c r="V140" s="5" t="n">
        <v>-40</v>
      </c>
      <c r="W140" s="5" t="n">
        <v>-100</v>
      </c>
      <c r="X140" s="5" t="n">
        <v>7</v>
      </c>
    </row>
    <row r="141" ht="20" customHeight="1">
      <c r="A141" s="44" t="n">
        <v>140</v>
      </c>
      <c r="B141" s="10" t="inlineStr">
        <is>
          <t>Mohan Bhandari</t>
        </is>
      </c>
      <c r="C141" s="10" t="inlineStr">
        <is>
          <t>ਮੋਹਨ ਭੰਡਾਰੀ</t>
        </is>
      </c>
      <c r="D141" s="14" t="inlineStr">
        <is>
          <t>AAP</t>
        </is>
      </c>
      <c r="E141" s="12" t="n">
        <v>14</v>
      </c>
      <c r="F141" s="14" t="inlineStr">
        <is>
          <t>AAP</t>
        </is>
      </c>
      <c r="G141" s="12" t="n">
        <v>125</v>
      </c>
      <c r="H141" s="32" t="inlineStr">
        <is>
          <t>Retained AAP</t>
        </is>
      </c>
      <c r="I141" s="12" t="n">
        <v>136</v>
      </c>
      <c r="J141" s="12" t="n">
        <v>227</v>
      </c>
      <c r="K141" s="12" t="n">
        <v>213</v>
      </c>
      <c r="L141" s="12" t="n">
        <v>0</v>
      </c>
      <c r="M141" s="12" t="n">
        <v>612</v>
      </c>
      <c r="N141" s="12" t="n">
        <v>119</v>
      </c>
      <c r="O141" s="12" t="n">
        <v>244</v>
      </c>
      <c r="P141" s="12" t="n">
        <v>108</v>
      </c>
      <c r="Q141" s="12" t="n">
        <v>11</v>
      </c>
      <c r="R141" s="12" t="n">
        <v>513</v>
      </c>
      <c r="S141" s="12" t="n">
        <v>-99</v>
      </c>
      <c r="T141" s="15" t="n">
        <v>-0.1618</v>
      </c>
      <c r="U141" s="12" t="n">
        <v>-17</v>
      </c>
      <c r="V141" s="12" t="n">
        <v>17</v>
      </c>
      <c r="W141" s="12" t="n">
        <v>-105</v>
      </c>
      <c r="X141" s="12" t="n">
        <v>11</v>
      </c>
    </row>
    <row r="142" ht="20" customHeight="1">
      <c r="A142" s="47" t="n">
        <v>141</v>
      </c>
      <c r="B142" s="3" t="inlineStr">
        <is>
          <t>Vachoaa</t>
        </is>
      </c>
      <c r="C142" s="3" t="inlineStr">
        <is>
          <t>ਵਾਚੋਆ</t>
        </is>
      </c>
      <c r="D142" s="7" t="inlineStr">
        <is>
          <t>INC</t>
        </is>
      </c>
      <c r="E142" s="5" t="n">
        <v>8</v>
      </c>
      <c r="F142" s="7" t="inlineStr">
        <is>
          <t>INC</t>
        </is>
      </c>
      <c r="G142" s="5" t="n">
        <v>20</v>
      </c>
      <c r="H142" s="32" t="inlineStr">
        <is>
          <t>Retained INC</t>
        </is>
      </c>
      <c r="I142" s="5" t="n">
        <v>227</v>
      </c>
      <c r="J142" s="5" t="n">
        <v>170</v>
      </c>
      <c r="K142" s="5" t="n">
        <v>219</v>
      </c>
      <c r="L142" s="5" t="n">
        <v>5</v>
      </c>
      <c r="M142" s="5" t="n">
        <v>699</v>
      </c>
      <c r="N142" s="5" t="n">
        <v>217</v>
      </c>
      <c r="O142" s="5" t="n">
        <v>197</v>
      </c>
      <c r="P142" s="5" t="n">
        <v>149</v>
      </c>
      <c r="Q142" s="5" t="n">
        <v>15</v>
      </c>
      <c r="R142" s="5" t="n">
        <v>625</v>
      </c>
      <c r="S142" s="5" t="n">
        <v>-74</v>
      </c>
      <c r="T142" s="8" t="n">
        <v>-0.1059</v>
      </c>
      <c r="U142" s="5" t="n">
        <v>-10</v>
      </c>
      <c r="V142" s="5" t="n">
        <v>27</v>
      </c>
      <c r="W142" s="5" t="n">
        <v>-70</v>
      </c>
      <c r="X142" s="5" t="n">
        <v>10</v>
      </c>
    </row>
    <row r="143" ht="20" customHeight="1">
      <c r="A143" s="44" t="n">
        <v>142</v>
      </c>
      <c r="B143" s="10" t="inlineStr">
        <is>
          <t>Vachoaa</t>
        </is>
      </c>
      <c r="C143" s="10" t="inlineStr">
        <is>
          <t>ਵਾਚੋਆ</t>
        </is>
      </c>
      <c r="D143" s="14" t="inlineStr">
        <is>
          <t>SAD</t>
        </is>
      </c>
      <c r="E143" s="12" t="n">
        <v>54</v>
      </c>
      <c r="F143" s="14" t="inlineStr">
        <is>
          <t>AAP</t>
        </is>
      </c>
      <c r="G143" s="12" t="n">
        <v>33</v>
      </c>
      <c r="H143" s="37" t="inlineStr">
        <is>
          <t>SAD → AAP</t>
        </is>
      </c>
      <c r="I143" s="12" t="n">
        <v>145</v>
      </c>
      <c r="J143" s="12" t="n">
        <v>195</v>
      </c>
      <c r="K143" s="12" t="n">
        <v>249</v>
      </c>
      <c r="L143" s="12" t="n">
        <v>3</v>
      </c>
      <c r="M143" s="12" t="n">
        <v>639</v>
      </c>
      <c r="N143" s="12" t="n">
        <v>144</v>
      </c>
      <c r="O143" s="12" t="n">
        <v>199</v>
      </c>
      <c r="P143" s="12" t="n">
        <v>166</v>
      </c>
      <c r="Q143" s="12" t="n">
        <v>16</v>
      </c>
      <c r="R143" s="12" t="n">
        <v>579</v>
      </c>
      <c r="S143" s="12" t="n">
        <v>-60</v>
      </c>
      <c r="T143" s="15" t="n">
        <v>-0.09390000000000001</v>
      </c>
      <c r="U143" s="12" t="n">
        <v>-1</v>
      </c>
      <c r="V143" s="12" t="n">
        <v>4</v>
      </c>
      <c r="W143" s="12" t="n">
        <v>-83</v>
      </c>
      <c r="X143" s="12" t="n">
        <v>13</v>
      </c>
    </row>
    <row r="144" ht="20" customHeight="1">
      <c r="A144" s="47" t="n">
        <v>143</v>
      </c>
      <c r="B144" s="3" t="inlineStr">
        <is>
          <t>Vachoaa</t>
        </is>
      </c>
      <c r="C144" s="3" t="inlineStr">
        <is>
          <t>ਵਾਚੋਆ</t>
        </is>
      </c>
      <c r="D144" s="7" t="inlineStr">
        <is>
          <t>SAD</t>
        </is>
      </c>
      <c r="E144" s="5" t="n">
        <v>13</v>
      </c>
      <c r="F144" s="7" t="inlineStr">
        <is>
          <t>AAP</t>
        </is>
      </c>
      <c r="G144" s="5" t="n">
        <v>37</v>
      </c>
      <c r="H144" s="37" t="inlineStr">
        <is>
          <t>SAD → AAP</t>
        </is>
      </c>
      <c r="I144" s="5" t="n">
        <v>166</v>
      </c>
      <c r="J144" s="5" t="n">
        <v>129</v>
      </c>
      <c r="K144" s="5" t="n">
        <v>179</v>
      </c>
      <c r="L144" s="5" t="n">
        <v>2</v>
      </c>
      <c r="M144" s="5" t="n">
        <v>537</v>
      </c>
      <c r="N144" s="5" t="n">
        <v>151</v>
      </c>
      <c r="O144" s="5" t="n">
        <v>188</v>
      </c>
      <c r="P144" s="5" t="n">
        <v>95</v>
      </c>
      <c r="Q144" s="5" t="n">
        <v>11</v>
      </c>
      <c r="R144" s="5" t="n">
        <v>473</v>
      </c>
      <c r="S144" s="5" t="n">
        <v>-64</v>
      </c>
      <c r="T144" s="8" t="n">
        <v>-0.1192</v>
      </c>
      <c r="U144" s="5" t="n">
        <v>-15</v>
      </c>
      <c r="V144" s="5" t="n">
        <v>59</v>
      </c>
      <c r="W144" s="5" t="n">
        <v>-84</v>
      </c>
      <c r="X144" s="5" t="n">
        <v>9</v>
      </c>
    </row>
    <row r="145" ht="20" customHeight="1">
      <c r="A145" s="44" t="n">
        <v>144</v>
      </c>
      <c r="B145" s="10" t="inlineStr">
        <is>
          <t>Fir Wariah</t>
        </is>
      </c>
      <c r="C145" s="10" t="inlineStr">
        <is>
          <t>ਫਿਰ ਵੜੈਚ</t>
        </is>
      </c>
      <c r="D145" s="14" t="inlineStr">
        <is>
          <t>INC</t>
        </is>
      </c>
      <c r="E145" s="12" t="n">
        <v>103</v>
      </c>
      <c r="F145" s="14" t="inlineStr">
        <is>
          <t>INC</t>
        </is>
      </c>
      <c r="G145" s="12" t="n">
        <v>2</v>
      </c>
      <c r="H145" s="32" t="inlineStr">
        <is>
          <t>Retained INC</t>
        </is>
      </c>
      <c r="I145" s="12" t="n">
        <v>176</v>
      </c>
      <c r="J145" s="12" t="n">
        <v>51</v>
      </c>
      <c r="K145" s="12" t="n">
        <v>73</v>
      </c>
      <c r="L145" s="12" t="n">
        <v>0</v>
      </c>
      <c r="M145" s="12" t="n">
        <v>313</v>
      </c>
      <c r="N145" s="12" t="n">
        <v>164</v>
      </c>
      <c r="O145" s="12" t="n">
        <v>162</v>
      </c>
      <c r="P145" s="12" t="n">
        <v>12</v>
      </c>
      <c r="Q145" s="12" t="n">
        <v>0</v>
      </c>
      <c r="R145" s="12" t="n">
        <v>346</v>
      </c>
      <c r="S145" s="12" t="n">
        <v>33</v>
      </c>
      <c r="T145" s="15" t="n">
        <v>0.1054</v>
      </c>
      <c r="U145" s="12" t="n">
        <v>-12</v>
      </c>
      <c r="V145" s="12" t="n">
        <v>111</v>
      </c>
      <c r="W145" s="12" t="n">
        <v>-61</v>
      </c>
      <c r="X145" s="12" t="n">
        <v>0</v>
      </c>
    </row>
    <row r="146" ht="20" customHeight="1">
      <c r="A146" s="47" t="n">
        <v>145</v>
      </c>
      <c r="B146" s="3" t="inlineStr">
        <is>
          <t>Kot Kesara Singh</t>
        </is>
      </c>
      <c r="C146" s="3" t="inlineStr">
        <is>
          <t>ਕੋਟ ਕੇਸਰਾ ਸਿੰਘ</t>
        </is>
      </c>
      <c r="D146" s="7" t="inlineStr">
        <is>
          <t>AAP</t>
        </is>
      </c>
      <c r="E146" s="5" t="n">
        <v>36</v>
      </c>
      <c r="F146" s="7" t="inlineStr">
        <is>
          <t>INC</t>
        </is>
      </c>
      <c r="G146" s="5" t="n">
        <v>54</v>
      </c>
      <c r="H146" s="37" t="inlineStr">
        <is>
          <t>AAP → INC</t>
        </is>
      </c>
      <c r="I146" s="5" t="n">
        <v>119</v>
      </c>
      <c r="J146" s="5" t="n">
        <v>155</v>
      </c>
      <c r="K146" s="5" t="n">
        <v>84</v>
      </c>
      <c r="L146" s="5" t="n">
        <v>0</v>
      </c>
      <c r="M146" s="5" t="n">
        <v>373</v>
      </c>
      <c r="N146" s="5" t="n">
        <v>149</v>
      </c>
      <c r="O146" s="5" t="n">
        <v>86</v>
      </c>
      <c r="P146" s="5" t="n">
        <v>95</v>
      </c>
      <c r="Q146" s="5" t="n">
        <v>1</v>
      </c>
      <c r="R146" s="5" t="n">
        <v>352</v>
      </c>
      <c r="S146" s="5" t="n">
        <v>-21</v>
      </c>
      <c r="T146" s="8" t="n">
        <v>-0.0563</v>
      </c>
      <c r="U146" s="5" t="n">
        <v>30</v>
      </c>
      <c r="V146" s="5" t="n">
        <v>-69</v>
      </c>
      <c r="W146" s="5" t="n">
        <v>11</v>
      </c>
      <c r="X146" s="5" t="n">
        <v>1</v>
      </c>
    </row>
    <row r="147" ht="20" customHeight="1">
      <c r="A147" s="44" t="n">
        <v>146</v>
      </c>
      <c r="B147" s="10" t="inlineStr">
        <is>
          <t>Sangatpura</t>
        </is>
      </c>
      <c r="C147" s="10" t="inlineStr">
        <is>
          <t>ਸੰਗਤਪੁਰਾ</t>
        </is>
      </c>
      <c r="D147" s="14" t="inlineStr">
        <is>
          <t>AAP</t>
        </is>
      </c>
      <c r="E147" s="12" t="n">
        <v>148</v>
      </c>
      <c r="F147" s="14" t="inlineStr">
        <is>
          <t>AAP</t>
        </is>
      </c>
      <c r="G147" s="12" t="n">
        <v>80</v>
      </c>
      <c r="H147" s="32" t="inlineStr">
        <is>
          <t>Retained AAP</t>
        </is>
      </c>
      <c r="I147" s="12" t="n">
        <v>145</v>
      </c>
      <c r="J147" s="12" t="n">
        <v>402</v>
      </c>
      <c r="K147" s="12" t="n">
        <v>254</v>
      </c>
      <c r="L147" s="12" t="n">
        <v>4</v>
      </c>
      <c r="M147" s="12" t="n">
        <v>849</v>
      </c>
      <c r="N147" s="12" t="n">
        <v>104</v>
      </c>
      <c r="O147" s="12" t="n">
        <v>254</v>
      </c>
      <c r="P147" s="12" t="n">
        <v>174</v>
      </c>
      <c r="Q147" s="12" t="n">
        <v>56</v>
      </c>
      <c r="R147" s="12" t="n">
        <v>699</v>
      </c>
      <c r="S147" s="12" t="n">
        <v>-150</v>
      </c>
      <c r="T147" s="15" t="n">
        <v>-0.1767</v>
      </c>
      <c r="U147" s="12" t="n">
        <v>-41</v>
      </c>
      <c r="V147" s="12" t="n">
        <v>-148</v>
      </c>
      <c r="W147" s="12" t="n">
        <v>-80</v>
      </c>
      <c r="X147" s="12" t="n">
        <v>52</v>
      </c>
    </row>
    <row r="148" ht="20" customHeight="1">
      <c r="A148" s="47" t="n">
        <v>147</v>
      </c>
      <c r="B148" s="3" t="inlineStr">
        <is>
          <t>Sangatpura</t>
        </is>
      </c>
      <c r="C148" s="3" t="inlineStr">
        <is>
          <t>ਸੰਗਤਪੁਰਾ</t>
        </is>
      </c>
      <c r="D148" s="7" t="inlineStr">
        <is>
          <t>AAP</t>
        </is>
      </c>
      <c r="E148" s="5" t="n">
        <v>39</v>
      </c>
      <c r="F148" s="7" t="inlineStr">
        <is>
          <t>AAP</t>
        </is>
      </c>
      <c r="G148" s="5" t="n">
        <v>140</v>
      </c>
      <c r="H148" s="32" t="inlineStr">
        <is>
          <t>Retained AAP</t>
        </is>
      </c>
      <c r="I148" s="5" t="n">
        <v>57</v>
      </c>
      <c r="J148" s="5" t="n">
        <v>176</v>
      </c>
      <c r="K148" s="5" t="n">
        <v>137</v>
      </c>
      <c r="L148" s="5" t="n">
        <v>1</v>
      </c>
      <c r="M148" s="5" t="n">
        <v>409</v>
      </c>
      <c r="N148" s="5" t="n">
        <v>38</v>
      </c>
      <c r="O148" s="5" t="n">
        <v>194</v>
      </c>
      <c r="P148" s="5" t="n">
        <v>54</v>
      </c>
      <c r="Q148" s="5" t="n">
        <v>12</v>
      </c>
      <c r="R148" s="5" t="n">
        <v>349</v>
      </c>
      <c r="S148" s="5" t="n">
        <v>-60</v>
      </c>
      <c r="T148" s="8" t="n">
        <v>-0.1467</v>
      </c>
      <c r="U148" s="5" t="n">
        <v>-19</v>
      </c>
      <c r="V148" s="5" t="n">
        <v>18</v>
      </c>
      <c r="W148" s="5" t="n">
        <v>-83</v>
      </c>
      <c r="X148" s="5" t="n">
        <v>11</v>
      </c>
    </row>
    <row r="149" ht="20" customHeight="1">
      <c r="A149" s="44" t="n">
        <v>148</v>
      </c>
      <c r="B149" s="10" t="inlineStr">
        <is>
          <t>Jhander</t>
        </is>
      </c>
      <c r="C149" s="10" t="inlineStr">
        <is>
          <t>ਝੰਡੇਰ</t>
        </is>
      </c>
      <c r="D149" s="14" t="inlineStr">
        <is>
          <t>INC</t>
        </is>
      </c>
      <c r="E149" s="12" t="n">
        <v>43</v>
      </c>
      <c r="F149" s="14" t="inlineStr">
        <is>
          <t>SAD</t>
        </is>
      </c>
      <c r="G149" s="12" t="n">
        <v>60</v>
      </c>
      <c r="H149" s="37" t="inlineStr">
        <is>
          <t>INC → SAD</t>
        </is>
      </c>
      <c r="I149" s="12" t="n">
        <v>280</v>
      </c>
      <c r="J149" s="12" t="n">
        <v>237</v>
      </c>
      <c r="K149" s="12" t="n">
        <v>128</v>
      </c>
      <c r="L149" s="12" t="n">
        <v>3</v>
      </c>
      <c r="M149" s="12" t="n">
        <v>674</v>
      </c>
      <c r="N149" s="12" t="n">
        <v>171</v>
      </c>
      <c r="O149" s="12" t="n">
        <v>157</v>
      </c>
      <c r="P149" s="12" t="n">
        <v>231</v>
      </c>
      <c r="Q149" s="12" t="n">
        <v>46</v>
      </c>
      <c r="R149" s="12" t="n">
        <v>644</v>
      </c>
      <c r="S149" s="12" t="n">
        <v>-30</v>
      </c>
      <c r="T149" s="15" t="n">
        <v>-0.0445</v>
      </c>
      <c r="U149" s="12" t="n">
        <v>-109</v>
      </c>
      <c r="V149" s="12" t="n">
        <v>-80</v>
      </c>
      <c r="W149" s="12" t="n">
        <v>103</v>
      </c>
      <c r="X149" s="12" t="n">
        <v>43</v>
      </c>
    </row>
    <row r="150" ht="20" customHeight="1">
      <c r="A150" s="47" t="n">
        <v>149</v>
      </c>
      <c r="B150" s="3" t="inlineStr">
        <is>
          <t>Jhander</t>
        </is>
      </c>
      <c r="C150" s="3" t="inlineStr">
        <is>
          <t>ਝੰਡੇਰ</t>
        </is>
      </c>
      <c r="D150" s="7" t="inlineStr">
        <is>
          <t>AAP</t>
        </is>
      </c>
      <c r="E150" s="5" t="n">
        <v>18</v>
      </c>
      <c r="F150" s="7" t="inlineStr">
        <is>
          <t>SAD</t>
        </is>
      </c>
      <c r="G150" s="5" t="n">
        <v>22</v>
      </c>
      <c r="H150" s="37" t="inlineStr">
        <is>
          <t>AAP → SAD</t>
        </is>
      </c>
      <c r="I150" s="5" t="n">
        <v>188</v>
      </c>
      <c r="J150" s="5" t="n">
        <v>232</v>
      </c>
      <c r="K150" s="5" t="n">
        <v>214</v>
      </c>
      <c r="L150" s="5" t="n">
        <v>3</v>
      </c>
      <c r="M150" s="5" t="n">
        <v>677</v>
      </c>
      <c r="N150" s="5" t="n">
        <v>133</v>
      </c>
      <c r="O150" s="5" t="n">
        <v>157</v>
      </c>
      <c r="P150" s="5" t="n">
        <v>179</v>
      </c>
      <c r="Q150" s="5" t="n">
        <v>15</v>
      </c>
      <c r="R150" s="5" t="n">
        <v>541</v>
      </c>
      <c r="S150" s="5" t="n">
        <v>-136</v>
      </c>
      <c r="T150" s="8" t="n">
        <v>-0.2009</v>
      </c>
      <c r="U150" s="5" t="n">
        <v>-55</v>
      </c>
      <c r="V150" s="5" t="n">
        <v>-75</v>
      </c>
      <c r="W150" s="5" t="n">
        <v>-35</v>
      </c>
      <c r="X150" s="5" t="n">
        <v>12</v>
      </c>
    </row>
    <row r="151" ht="20" customHeight="1">
      <c r="A151" s="44" t="n">
        <v>150</v>
      </c>
      <c r="B151" s="10" t="inlineStr">
        <is>
          <t>Salodin</t>
        </is>
      </c>
      <c r="C151" s="10" t="inlineStr">
        <is>
          <t>ਸਲੋਦੀਨ</t>
        </is>
      </c>
      <c r="D151" s="14" t="inlineStr">
        <is>
          <t>AAP</t>
        </is>
      </c>
      <c r="E151" s="12" t="n">
        <v>42</v>
      </c>
      <c r="F151" s="14" t="inlineStr">
        <is>
          <t>SAD</t>
        </is>
      </c>
      <c r="G151" s="12" t="n">
        <v>196</v>
      </c>
      <c r="H151" s="37" t="inlineStr">
        <is>
          <t>AAP → SAD</t>
        </is>
      </c>
      <c r="I151" s="12" t="n">
        <v>100</v>
      </c>
      <c r="J151" s="12" t="n">
        <v>194</v>
      </c>
      <c r="K151" s="12" t="n">
        <v>152</v>
      </c>
      <c r="L151" s="12" t="n">
        <v>0</v>
      </c>
      <c r="M151" s="12" t="n">
        <v>482</v>
      </c>
      <c r="N151" s="12" t="n">
        <v>50</v>
      </c>
      <c r="O151" s="12" t="n">
        <v>48</v>
      </c>
      <c r="P151" s="12" t="n">
        <v>246</v>
      </c>
      <c r="Q151" s="12" t="n">
        <v>49</v>
      </c>
      <c r="R151" s="12" t="n">
        <v>419</v>
      </c>
      <c r="S151" s="12" t="n">
        <v>-63</v>
      </c>
      <c r="T151" s="15" t="n">
        <v>-0.1307</v>
      </c>
      <c r="U151" s="12" t="n">
        <v>-50</v>
      </c>
      <c r="V151" s="12" t="n">
        <v>-146</v>
      </c>
      <c r="W151" s="12" t="n">
        <v>94</v>
      </c>
      <c r="X151" s="12" t="n">
        <v>49</v>
      </c>
    </row>
    <row r="152" ht="20" customHeight="1">
      <c r="A152" s="47" t="n">
        <v>151</v>
      </c>
      <c r="B152" s="3" t="inlineStr">
        <is>
          <t>Khatrai Kalan</t>
        </is>
      </c>
      <c r="C152" s="3" t="inlineStr">
        <is>
          <t>ਖਤਰਾਏ ਕਲਾਂ</t>
        </is>
      </c>
      <c r="D152" s="7" t="inlineStr">
        <is>
          <t>AAP</t>
        </is>
      </c>
      <c r="E152" s="5" t="n">
        <v>39</v>
      </c>
      <c r="F152" s="7" t="inlineStr">
        <is>
          <t>SAD</t>
        </is>
      </c>
      <c r="G152" s="5" t="n">
        <v>142</v>
      </c>
      <c r="H152" s="37" t="inlineStr">
        <is>
          <t>AAP → SAD</t>
        </is>
      </c>
      <c r="I152" s="5" t="n">
        <v>196</v>
      </c>
      <c r="J152" s="5" t="n">
        <v>284</v>
      </c>
      <c r="K152" s="5" t="n">
        <v>245</v>
      </c>
      <c r="L152" s="5" t="n">
        <v>1</v>
      </c>
      <c r="M152" s="5" t="n">
        <v>772</v>
      </c>
      <c r="N152" s="5" t="n">
        <v>127</v>
      </c>
      <c r="O152" s="5" t="n">
        <v>161</v>
      </c>
      <c r="P152" s="5" t="n">
        <v>303</v>
      </c>
      <c r="Q152" s="5" t="n">
        <v>26</v>
      </c>
      <c r="R152" s="5" t="n">
        <v>671</v>
      </c>
      <c r="S152" s="5" t="n">
        <v>-101</v>
      </c>
      <c r="T152" s="8" t="n">
        <v>-0.1308</v>
      </c>
      <c r="U152" s="5" t="n">
        <v>-69</v>
      </c>
      <c r="V152" s="5" t="n">
        <v>-123</v>
      </c>
      <c r="W152" s="5" t="n">
        <v>58</v>
      </c>
      <c r="X152" s="5" t="n">
        <v>25</v>
      </c>
    </row>
    <row r="153" ht="20" customHeight="1">
      <c r="A153" s="44" t="n">
        <v>152</v>
      </c>
      <c r="B153" s="10" t="inlineStr">
        <is>
          <t>Bath</t>
        </is>
      </c>
      <c r="C153" s="10" t="inlineStr">
        <is>
          <t>ਬਾਠ</t>
        </is>
      </c>
      <c r="D153" s="14" t="inlineStr">
        <is>
          <t>AAP</t>
        </is>
      </c>
      <c r="E153" s="12" t="n">
        <v>169</v>
      </c>
      <c r="F153" s="14" t="inlineStr">
        <is>
          <t>AAP</t>
        </is>
      </c>
      <c r="G153" s="12" t="n">
        <v>122</v>
      </c>
      <c r="H153" s="32" t="inlineStr">
        <is>
          <t>Retained AAP</t>
        </is>
      </c>
      <c r="I153" s="12" t="n">
        <v>223</v>
      </c>
      <c r="J153" s="12" t="n">
        <v>392</v>
      </c>
      <c r="K153" s="12" t="n">
        <v>217</v>
      </c>
      <c r="L153" s="12" t="n">
        <v>0</v>
      </c>
      <c r="M153" s="12" t="n">
        <v>919</v>
      </c>
      <c r="N153" s="12" t="n">
        <v>227</v>
      </c>
      <c r="O153" s="12" t="n">
        <v>349</v>
      </c>
      <c r="P153" s="12" t="n">
        <v>69</v>
      </c>
      <c r="Q153" s="12" t="n">
        <v>53</v>
      </c>
      <c r="R153" s="12" t="n">
        <v>772</v>
      </c>
      <c r="S153" s="12" t="n">
        <v>-147</v>
      </c>
      <c r="T153" s="15" t="n">
        <v>-0.16</v>
      </c>
      <c r="U153" s="12" t="n">
        <v>4</v>
      </c>
      <c r="V153" s="12" t="n">
        <v>-43</v>
      </c>
      <c r="W153" s="12" t="n">
        <v>-148</v>
      </c>
      <c r="X153" s="12" t="n">
        <v>53</v>
      </c>
    </row>
    <row r="154" ht="20" customHeight="1">
      <c r="A154" s="47" t="n">
        <v>153</v>
      </c>
      <c r="B154" s="3" t="inlineStr">
        <is>
          <t>Kamalpura</t>
        </is>
      </c>
      <c r="C154" s="3" t="inlineStr">
        <is>
          <t>ਕਮਾਲਪੁਰਾ</t>
        </is>
      </c>
      <c r="D154" s="7" t="inlineStr">
        <is>
          <t>SAD</t>
        </is>
      </c>
      <c r="E154" s="5" t="n">
        <v>7</v>
      </c>
      <c r="F154" s="7" t="inlineStr">
        <is>
          <t>SAD</t>
        </is>
      </c>
      <c r="G154" s="5" t="n">
        <v>96</v>
      </c>
      <c r="H154" s="32" t="inlineStr">
        <is>
          <t>Retained SAD</t>
        </is>
      </c>
      <c r="I154" s="5" t="n">
        <v>126</v>
      </c>
      <c r="J154" s="5" t="n">
        <v>240</v>
      </c>
      <c r="K154" s="5" t="n">
        <v>247</v>
      </c>
      <c r="L154" s="5" t="n">
        <v>1</v>
      </c>
      <c r="M154" s="5" t="n">
        <v>650</v>
      </c>
      <c r="N154" s="5" t="n">
        <v>174</v>
      </c>
      <c r="O154" s="5" t="n">
        <v>112</v>
      </c>
      <c r="P154" s="5" t="n">
        <v>270</v>
      </c>
      <c r="Q154" s="5" t="n">
        <v>12</v>
      </c>
      <c r="R154" s="5" t="n">
        <v>597</v>
      </c>
      <c r="S154" s="5" t="n">
        <v>-53</v>
      </c>
      <c r="T154" s="8" t="n">
        <v>-0.0815</v>
      </c>
      <c r="U154" s="5" t="n">
        <v>48</v>
      </c>
      <c r="V154" s="5" t="n">
        <v>-128</v>
      </c>
      <c r="W154" s="5" t="n">
        <v>23</v>
      </c>
      <c r="X154" s="5" t="n">
        <v>11</v>
      </c>
    </row>
    <row r="155" ht="20" customHeight="1">
      <c r="A155" s="44" t="n">
        <v>154</v>
      </c>
      <c r="B155" s="10" t="inlineStr">
        <is>
          <t>Kamalpura</t>
        </is>
      </c>
      <c r="C155" s="10" t="inlineStr">
        <is>
          <t>ਕਮਾਲਪੁਰਾ</t>
        </is>
      </c>
      <c r="D155" s="14" t="inlineStr">
        <is>
          <t>AAP</t>
        </is>
      </c>
      <c r="E155" s="12" t="n">
        <v>100</v>
      </c>
      <c r="F155" s="14" t="inlineStr">
        <is>
          <t>INC</t>
        </is>
      </c>
      <c r="G155" s="12" t="n">
        <v>92</v>
      </c>
      <c r="H155" s="37" t="inlineStr">
        <is>
          <t>AAP → INC</t>
        </is>
      </c>
      <c r="I155" s="12" t="n">
        <v>174</v>
      </c>
      <c r="J155" s="12" t="n">
        <v>274</v>
      </c>
      <c r="K155" s="12" t="n">
        <v>141</v>
      </c>
      <c r="L155" s="12" t="n">
        <v>1</v>
      </c>
      <c r="M155" s="12" t="n">
        <v>621</v>
      </c>
      <c r="N155" s="12" t="n">
        <v>237</v>
      </c>
      <c r="O155" s="12" t="n">
        <v>145</v>
      </c>
      <c r="P155" s="12" t="n">
        <v>116</v>
      </c>
      <c r="Q155" s="12" t="n">
        <v>36</v>
      </c>
      <c r="R155" s="12" t="n">
        <v>571</v>
      </c>
      <c r="S155" s="12" t="n">
        <v>-50</v>
      </c>
      <c r="T155" s="15" t="n">
        <v>-0.0805</v>
      </c>
      <c r="U155" s="12" t="n">
        <v>63</v>
      </c>
      <c r="V155" s="12" t="n">
        <v>-129</v>
      </c>
      <c r="W155" s="12" t="n">
        <v>-25</v>
      </c>
      <c r="X155" s="12" t="n">
        <v>35</v>
      </c>
    </row>
    <row r="156" ht="20" customHeight="1">
      <c r="A156" s="47" t="n">
        <v>155</v>
      </c>
      <c r="B156" s="3" t="inlineStr">
        <is>
          <t>Mukam</t>
        </is>
      </c>
      <c r="C156" s="3" t="inlineStr">
        <is>
          <t>ਮੁਕਾਮ</t>
        </is>
      </c>
      <c r="D156" s="7" t="inlineStr">
        <is>
          <t>INC</t>
        </is>
      </c>
      <c r="E156" s="5" t="n">
        <v>45</v>
      </c>
      <c r="F156" s="7" t="inlineStr">
        <is>
          <t>BJP</t>
        </is>
      </c>
      <c r="G156" s="5" t="n">
        <v>67</v>
      </c>
      <c r="H156" s="37" t="inlineStr">
        <is>
          <t>INC → BJP</t>
        </is>
      </c>
      <c r="I156" s="5" t="n">
        <v>275</v>
      </c>
      <c r="J156" s="5" t="n">
        <v>149</v>
      </c>
      <c r="K156" s="5" t="n">
        <v>230</v>
      </c>
      <c r="L156" s="5" t="n">
        <v>1</v>
      </c>
      <c r="M156" s="5" t="n">
        <v>693</v>
      </c>
      <c r="N156" s="5" t="n">
        <v>54</v>
      </c>
      <c r="O156" s="5" t="n">
        <v>164</v>
      </c>
      <c r="P156" s="5" t="n">
        <v>127</v>
      </c>
      <c r="Q156" s="5" t="n">
        <v>231</v>
      </c>
      <c r="R156" s="5" t="n">
        <v>632</v>
      </c>
      <c r="S156" s="5" t="n">
        <v>-61</v>
      </c>
      <c r="T156" s="8" t="n">
        <v>-0.08800000000000001</v>
      </c>
      <c r="U156" s="5" t="n">
        <v>-221</v>
      </c>
      <c r="V156" s="5" t="n">
        <v>15</v>
      </c>
      <c r="W156" s="5" t="n">
        <v>-103</v>
      </c>
      <c r="X156" s="5" t="n">
        <v>230</v>
      </c>
    </row>
    <row r="157" ht="20" customHeight="1">
      <c r="A157" s="44" t="n">
        <v>156</v>
      </c>
      <c r="B157" s="10" t="inlineStr">
        <is>
          <t>Chamiari</t>
        </is>
      </c>
      <c r="C157" s="10" t="inlineStr">
        <is>
          <t>ਚਮਿਆਰੀ</t>
        </is>
      </c>
      <c r="D157" s="14" t="inlineStr">
        <is>
          <t>AAP</t>
        </is>
      </c>
      <c r="E157" s="12" t="n">
        <v>159</v>
      </c>
      <c r="F157" s="14" t="inlineStr">
        <is>
          <t>AAP</t>
        </is>
      </c>
      <c r="G157" s="12" t="n">
        <v>181</v>
      </c>
      <c r="H157" s="32" t="inlineStr">
        <is>
          <t>Retained AAP</t>
        </is>
      </c>
      <c r="I157" s="12" t="n">
        <v>157</v>
      </c>
      <c r="J157" s="12" t="n">
        <v>316</v>
      </c>
      <c r="K157" s="12" t="n">
        <v>147</v>
      </c>
      <c r="L157" s="12" t="n">
        <v>1</v>
      </c>
      <c r="M157" s="12" t="n">
        <v>655</v>
      </c>
      <c r="N157" s="12" t="n">
        <v>124</v>
      </c>
      <c r="O157" s="12" t="n">
        <v>305</v>
      </c>
      <c r="P157" s="12" t="n">
        <v>41</v>
      </c>
      <c r="Q157" s="12" t="n">
        <v>29</v>
      </c>
      <c r="R157" s="12" t="n">
        <v>543</v>
      </c>
      <c r="S157" s="12" t="n">
        <v>-112</v>
      </c>
      <c r="T157" s="15" t="n">
        <v>-0.171</v>
      </c>
      <c r="U157" s="12" t="n">
        <v>-33</v>
      </c>
      <c r="V157" s="12" t="n">
        <v>-11</v>
      </c>
      <c r="W157" s="12" t="n">
        <v>-106</v>
      </c>
      <c r="X157" s="12" t="n">
        <v>28</v>
      </c>
    </row>
    <row r="158" ht="20" customHeight="1">
      <c r="A158" s="47" t="n">
        <v>157</v>
      </c>
      <c r="B158" s="3" t="inlineStr">
        <is>
          <t>Chamiari</t>
        </is>
      </c>
      <c r="C158" s="3" t="inlineStr">
        <is>
          <t>ਚਮਿਆਰੀ</t>
        </is>
      </c>
      <c r="D158" s="7" t="inlineStr">
        <is>
          <t>INC</t>
        </is>
      </c>
      <c r="E158" s="5" t="n">
        <v>121</v>
      </c>
      <c r="F158" s="7" t="inlineStr">
        <is>
          <t>INC</t>
        </is>
      </c>
      <c r="G158" s="5" t="n">
        <v>37</v>
      </c>
      <c r="H158" s="32" t="inlineStr">
        <is>
          <t>Retained INC</t>
        </is>
      </c>
      <c r="I158" s="5" t="n">
        <v>319</v>
      </c>
      <c r="J158" s="5" t="n">
        <v>198</v>
      </c>
      <c r="K158" s="5" t="n">
        <v>184</v>
      </c>
      <c r="L158" s="5" t="n">
        <v>5</v>
      </c>
      <c r="M158" s="5" t="n">
        <v>788</v>
      </c>
      <c r="N158" s="5" t="n">
        <v>311</v>
      </c>
      <c r="O158" s="5" t="n">
        <v>274</v>
      </c>
      <c r="P158" s="5" t="n">
        <v>34</v>
      </c>
      <c r="Q158" s="5" t="n">
        <v>27</v>
      </c>
      <c r="R158" s="5" t="n">
        <v>676</v>
      </c>
      <c r="S158" s="5" t="n">
        <v>-112</v>
      </c>
      <c r="T158" s="8" t="n">
        <v>-0.1421</v>
      </c>
      <c r="U158" s="5" t="n">
        <v>-8</v>
      </c>
      <c r="V158" s="5" t="n">
        <v>76</v>
      </c>
      <c r="W158" s="5" t="n">
        <v>-150</v>
      </c>
      <c r="X158" s="5" t="n">
        <v>22</v>
      </c>
    </row>
    <row r="159" ht="20" customHeight="1">
      <c r="A159" s="44" t="n">
        <v>158</v>
      </c>
      <c r="B159" s="10" t="inlineStr">
        <is>
          <t>Chamiari</t>
        </is>
      </c>
      <c r="C159" s="10" t="inlineStr">
        <is>
          <t>ਚਮਿਆਰੀ</t>
        </is>
      </c>
      <c r="D159" s="14" t="inlineStr">
        <is>
          <t>AAP</t>
        </is>
      </c>
      <c r="E159" s="12" t="n">
        <v>134</v>
      </c>
      <c r="F159" s="14" t="inlineStr">
        <is>
          <t>INC</t>
        </is>
      </c>
      <c r="G159" s="12" t="n">
        <v>42</v>
      </c>
      <c r="H159" s="37" t="inlineStr">
        <is>
          <t>AAP → INC</t>
        </is>
      </c>
      <c r="I159" s="12" t="n">
        <v>213</v>
      </c>
      <c r="J159" s="12" t="n">
        <v>347</v>
      </c>
      <c r="K159" s="12" t="n">
        <v>152</v>
      </c>
      <c r="L159" s="12" t="n">
        <v>3</v>
      </c>
      <c r="M159" s="12" t="n">
        <v>789</v>
      </c>
      <c r="N159" s="12" t="n">
        <v>277</v>
      </c>
      <c r="O159" s="12" t="n">
        <v>235</v>
      </c>
      <c r="P159" s="12" t="n">
        <v>29</v>
      </c>
      <c r="Q159" s="12" t="n">
        <v>28</v>
      </c>
      <c r="R159" s="12" t="n">
        <v>617</v>
      </c>
      <c r="S159" s="12" t="n">
        <v>-172</v>
      </c>
      <c r="T159" s="15" t="n">
        <v>-0.218</v>
      </c>
      <c r="U159" s="12" t="n">
        <v>64</v>
      </c>
      <c r="V159" s="12" t="n">
        <v>-112</v>
      </c>
      <c r="W159" s="12" t="n">
        <v>-123</v>
      </c>
      <c r="X159" s="12" t="n">
        <v>25</v>
      </c>
    </row>
    <row r="160" ht="20" customHeight="1">
      <c r="A160" s="47" t="n">
        <v>159</v>
      </c>
      <c r="B160" s="3" t="inlineStr">
        <is>
          <t>Chamiari (Abadi Gujhapir)</t>
        </is>
      </c>
      <c r="C160" s="3" t="inlineStr">
        <is>
          <t>ਚਮਿਆਰੀ (ਆਬਾਦੀ ਗੁੱਝਾਪੀਰ)</t>
        </is>
      </c>
      <c r="D160" s="7" t="inlineStr">
        <is>
          <t>INC</t>
        </is>
      </c>
      <c r="E160" s="5" t="n">
        <v>52</v>
      </c>
      <c r="F160" s="7" t="inlineStr">
        <is>
          <t>INC</t>
        </is>
      </c>
      <c r="G160" s="5" t="n">
        <v>152</v>
      </c>
      <c r="H160" s="32" t="inlineStr">
        <is>
          <t>Retained INC</t>
        </is>
      </c>
      <c r="I160" s="5" t="n">
        <v>450</v>
      </c>
      <c r="J160" s="5" t="n">
        <v>120</v>
      </c>
      <c r="K160" s="5" t="n">
        <v>398</v>
      </c>
      <c r="L160" s="5" t="n">
        <v>1</v>
      </c>
      <c r="M160" s="5" t="n">
        <v>1018</v>
      </c>
      <c r="N160" s="5" t="n">
        <v>466</v>
      </c>
      <c r="O160" s="5" t="n">
        <v>90</v>
      </c>
      <c r="P160" s="5" t="n">
        <v>314</v>
      </c>
      <c r="Q160" s="5" t="n">
        <v>22</v>
      </c>
      <c r="R160" s="5" t="n">
        <v>936</v>
      </c>
      <c r="S160" s="5" t="n">
        <v>-82</v>
      </c>
      <c r="T160" s="8" t="n">
        <v>-0.0806</v>
      </c>
      <c r="U160" s="5" t="n">
        <v>16</v>
      </c>
      <c r="V160" s="5" t="n">
        <v>-30</v>
      </c>
      <c r="W160" s="5" t="n">
        <v>-84</v>
      </c>
      <c r="X160" s="5" t="n">
        <v>21</v>
      </c>
    </row>
    <row r="161" ht="20" customHeight="1">
      <c r="A161" s="44" t="n">
        <v>160</v>
      </c>
      <c r="B161" s="10" t="inlineStr">
        <is>
          <t>Bhoeawali</t>
        </is>
      </c>
      <c r="C161" s="10" t="inlineStr">
        <is>
          <t>ਭੋਏਵਾਲੀ</t>
        </is>
      </c>
      <c r="D161" s="14" t="inlineStr">
        <is>
          <t>SAD</t>
        </is>
      </c>
      <c r="E161" s="12" t="n">
        <v>33</v>
      </c>
      <c r="F161" s="14" t="inlineStr">
        <is>
          <t>INC</t>
        </is>
      </c>
      <c r="G161" s="12" t="n">
        <v>1</v>
      </c>
      <c r="H161" s="37" t="inlineStr">
        <is>
          <t>SAD → INC</t>
        </is>
      </c>
      <c r="I161" s="12" t="n">
        <v>208</v>
      </c>
      <c r="J161" s="12" t="n">
        <v>186</v>
      </c>
      <c r="K161" s="12" t="n">
        <v>241</v>
      </c>
      <c r="L161" s="12" t="n">
        <v>2</v>
      </c>
      <c r="M161" s="12" t="n">
        <v>650</v>
      </c>
      <c r="N161" s="12" t="n">
        <v>201</v>
      </c>
      <c r="O161" s="12" t="n">
        <v>200</v>
      </c>
      <c r="P161" s="12" t="n">
        <v>119</v>
      </c>
      <c r="Q161" s="12" t="n">
        <v>59</v>
      </c>
      <c r="R161" s="12" t="n">
        <v>602</v>
      </c>
      <c r="S161" s="12" t="n">
        <v>-48</v>
      </c>
      <c r="T161" s="15" t="n">
        <v>-0.0738</v>
      </c>
      <c r="U161" s="12" t="n">
        <v>-7</v>
      </c>
      <c r="V161" s="12" t="n">
        <v>14</v>
      </c>
      <c r="W161" s="12" t="n">
        <v>-122</v>
      </c>
      <c r="X161" s="12" t="n">
        <v>57</v>
      </c>
    </row>
    <row r="162" ht="20" customHeight="1">
      <c r="A162" s="47" t="n">
        <v>161</v>
      </c>
      <c r="B162" s="3" t="inlineStr">
        <is>
          <t>Bhoeawali</t>
        </is>
      </c>
      <c r="C162" s="3" t="inlineStr">
        <is>
          <t>ਭੋਏਵਾਲੀ</t>
        </is>
      </c>
      <c r="D162" s="7" t="inlineStr">
        <is>
          <t>INC</t>
        </is>
      </c>
      <c r="E162" s="5" t="n">
        <v>54</v>
      </c>
      <c r="F162" s="7" t="inlineStr">
        <is>
          <t>INC</t>
        </is>
      </c>
      <c r="G162" s="5" t="n">
        <v>115</v>
      </c>
      <c r="H162" s="32" t="inlineStr">
        <is>
          <t>Retained INC</t>
        </is>
      </c>
      <c r="I162" s="5" t="n">
        <v>190</v>
      </c>
      <c r="J162" s="5" t="n">
        <v>136</v>
      </c>
      <c r="K162" s="5" t="n">
        <v>115</v>
      </c>
      <c r="L162" s="5" t="n">
        <v>2</v>
      </c>
      <c r="M162" s="5" t="n">
        <v>453</v>
      </c>
      <c r="N162" s="5" t="n">
        <v>208</v>
      </c>
      <c r="O162" s="5" t="n">
        <v>93</v>
      </c>
      <c r="P162" s="5" t="n">
        <v>79</v>
      </c>
      <c r="Q162" s="5" t="n">
        <v>14</v>
      </c>
      <c r="R162" s="5" t="n">
        <v>404</v>
      </c>
      <c r="S162" s="5" t="n">
        <v>-49</v>
      </c>
      <c r="T162" s="8" t="n">
        <v>-0.1082</v>
      </c>
      <c r="U162" s="5" t="n">
        <v>18</v>
      </c>
      <c r="V162" s="5" t="n">
        <v>-43</v>
      </c>
      <c r="W162" s="5" t="n">
        <v>-36</v>
      </c>
      <c r="X162" s="5" t="n">
        <v>12</v>
      </c>
    </row>
    <row r="163" ht="20" customHeight="1">
      <c r="A163" s="44" t="n">
        <v>162</v>
      </c>
      <c r="B163" s="10" t="inlineStr">
        <is>
          <t>Kiyampur</t>
        </is>
      </c>
      <c r="C163" s="10" t="inlineStr">
        <is>
          <t>ਕਿਆਮਪੁਰ</t>
        </is>
      </c>
      <c r="D163" s="14" t="inlineStr">
        <is>
          <t>AAP</t>
        </is>
      </c>
      <c r="E163" s="12" t="n">
        <v>205</v>
      </c>
      <c r="F163" s="14" t="inlineStr">
        <is>
          <t>SAD</t>
        </is>
      </c>
      <c r="G163" s="12" t="n">
        <v>55</v>
      </c>
      <c r="H163" s="37" t="inlineStr">
        <is>
          <t>AAP → SAD</t>
        </is>
      </c>
      <c r="I163" s="12" t="n">
        <v>112</v>
      </c>
      <c r="J163" s="12" t="n">
        <v>455</v>
      </c>
      <c r="K163" s="12" t="n">
        <v>250</v>
      </c>
      <c r="L163" s="12" t="n">
        <v>2</v>
      </c>
      <c r="M163" s="12" t="n">
        <v>870</v>
      </c>
      <c r="N163" s="12" t="n">
        <v>116</v>
      </c>
      <c r="O163" s="12" t="n">
        <v>228</v>
      </c>
      <c r="P163" s="12" t="n">
        <v>283</v>
      </c>
      <c r="Q163" s="12" t="n">
        <v>52</v>
      </c>
      <c r="R163" s="12" t="n">
        <v>752</v>
      </c>
      <c r="S163" s="12" t="n">
        <v>-118</v>
      </c>
      <c r="T163" s="15" t="n">
        <v>-0.1356</v>
      </c>
      <c r="U163" s="12" t="n">
        <v>4</v>
      </c>
      <c r="V163" s="12" t="n">
        <v>-227</v>
      </c>
      <c r="W163" s="12" t="n">
        <v>33</v>
      </c>
      <c r="X163" s="12" t="n">
        <v>50</v>
      </c>
    </row>
    <row r="164" ht="20" customHeight="1">
      <c r="A164" s="47" t="n">
        <v>163</v>
      </c>
      <c r="B164" s="3" t="inlineStr">
        <is>
          <t>Kiyampur</t>
        </is>
      </c>
      <c r="C164" s="3" t="inlineStr">
        <is>
          <t>ਕਿਆਮਪੁਰ</t>
        </is>
      </c>
      <c r="D164" s="7" t="inlineStr">
        <is>
          <t>SAD</t>
        </is>
      </c>
      <c r="E164" s="5" t="n">
        <v>8</v>
      </c>
      <c r="F164" s="7" t="inlineStr">
        <is>
          <t>INC</t>
        </is>
      </c>
      <c r="G164" s="5" t="n">
        <v>28</v>
      </c>
      <c r="H164" s="37" t="inlineStr">
        <is>
          <t>SAD → INC</t>
        </is>
      </c>
      <c r="I164" s="5" t="n">
        <v>161</v>
      </c>
      <c r="J164" s="5" t="n">
        <v>145</v>
      </c>
      <c r="K164" s="5" t="n">
        <v>169</v>
      </c>
      <c r="L164" s="5" t="n">
        <v>1</v>
      </c>
      <c r="M164" s="5" t="n">
        <v>499</v>
      </c>
      <c r="N164" s="5" t="n">
        <v>136</v>
      </c>
      <c r="O164" s="5" t="n">
        <v>48</v>
      </c>
      <c r="P164" s="5" t="n">
        <v>108</v>
      </c>
      <c r="Q164" s="5" t="n">
        <v>82</v>
      </c>
      <c r="R164" s="5" t="n">
        <v>397</v>
      </c>
      <c r="S164" s="5" t="n">
        <v>-102</v>
      </c>
      <c r="T164" s="8" t="n">
        <v>-0.2044</v>
      </c>
      <c r="U164" s="5" t="n">
        <v>-25</v>
      </c>
      <c r="V164" s="5" t="n">
        <v>-97</v>
      </c>
      <c r="W164" s="5" t="n">
        <v>-61</v>
      </c>
      <c r="X164" s="5" t="n">
        <v>81</v>
      </c>
    </row>
    <row r="165" ht="20" customHeight="1">
      <c r="A165" s="44" t="n">
        <v>164</v>
      </c>
      <c r="B165" s="10" t="inlineStr">
        <is>
          <t>Terha Khurd</t>
        </is>
      </c>
      <c r="C165" s="10" t="inlineStr">
        <is>
          <t>ਤੇੜ੍ਹਾ ਖੁਰਦ</t>
        </is>
      </c>
      <c r="D165" s="14" t="inlineStr">
        <is>
          <t>AAP</t>
        </is>
      </c>
      <c r="E165" s="12" t="n">
        <v>32</v>
      </c>
      <c r="F165" s="14" t="inlineStr">
        <is>
          <t>AAP</t>
        </is>
      </c>
      <c r="G165" s="12" t="n">
        <v>65</v>
      </c>
      <c r="H165" s="32" t="inlineStr">
        <is>
          <t>Retained AAP</t>
        </is>
      </c>
      <c r="I165" s="12" t="n">
        <v>277</v>
      </c>
      <c r="J165" s="12" t="n">
        <v>309</v>
      </c>
      <c r="K165" s="12" t="n">
        <v>139</v>
      </c>
      <c r="L165" s="12" t="n">
        <v>0</v>
      </c>
      <c r="M165" s="12" t="n">
        <v>798</v>
      </c>
      <c r="N165" s="12" t="n">
        <v>168</v>
      </c>
      <c r="O165" s="12" t="n">
        <v>233</v>
      </c>
      <c r="P165" s="12" t="n">
        <v>152</v>
      </c>
      <c r="Q165" s="12" t="n">
        <v>134</v>
      </c>
      <c r="R165" s="12" t="n">
        <v>734</v>
      </c>
      <c r="S165" s="12" t="n">
        <v>-64</v>
      </c>
      <c r="T165" s="15" t="n">
        <v>-0.08019999999999999</v>
      </c>
      <c r="U165" s="12" t="n">
        <v>-109</v>
      </c>
      <c r="V165" s="12" t="n">
        <v>-76</v>
      </c>
      <c r="W165" s="12" t="n">
        <v>13</v>
      </c>
      <c r="X165" s="12" t="n">
        <v>134</v>
      </c>
    </row>
    <row r="166" ht="20" customHeight="1">
      <c r="A166" s="47" t="n">
        <v>165</v>
      </c>
      <c r="B166" s="3" t="inlineStr">
        <is>
          <t>Terha Kalan</t>
        </is>
      </c>
      <c r="C166" s="3" t="inlineStr">
        <is>
          <t>ਤੇੜ੍ਹਾ ਕਲਾਂ</t>
        </is>
      </c>
      <c r="D166" s="7" t="inlineStr">
        <is>
          <t>AAP</t>
        </is>
      </c>
      <c r="E166" s="5" t="n">
        <v>203</v>
      </c>
      <c r="F166" s="7" t="inlineStr">
        <is>
          <t>AAP</t>
        </is>
      </c>
      <c r="G166" s="5" t="n">
        <v>84</v>
      </c>
      <c r="H166" s="32" t="inlineStr">
        <is>
          <t>Retained AAP</t>
        </is>
      </c>
      <c r="I166" s="5" t="n">
        <v>118</v>
      </c>
      <c r="J166" s="5" t="n">
        <v>331</v>
      </c>
      <c r="K166" s="5" t="n">
        <v>128</v>
      </c>
      <c r="L166" s="5" t="n">
        <v>0</v>
      </c>
      <c r="M166" s="5" t="n">
        <v>640</v>
      </c>
      <c r="N166" s="5" t="n">
        <v>120</v>
      </c>
      <c r="O166" s="5" t="n">
        <v>227</v>
      </c>
      <c r="P166" s="5" t="n">
        <v>143</v>
      </c>
      <c r="Q166" s="5" t="n">
        <v>18</v>
      </c>
      <c r="R166" s="5" t="n">
        <v>571</v>
      </c>
      <c r="S166" s="5" t="n">
        <v>-69</v>
      </c>
      <c r="T166" s="8" t="n">
        <v>-0.1078</v>
      </c>
      <c r="U166" s="5" t="n">
        <v>2</v>
      </c>
      <c r="V166" s="5" t="n">
        <v>-104</v>
      </c>
      <c r="W166" s="5" t="n">
        <v>15</v>
      </c>
      <c r="X166" s="5" t="n">
        <v>18</v>
      </c>
    </row>
    <row r="167" ht="20" customHeight="1">
      <c r="A167" s="44" t="n">
        <v>166</v>
      </c>
      <c r="B167" s="10" t="inlineStr">
        <is>
          <t>Terha Kalan</t>
        </is>
      </c>
      <c r="C167" s="10" t="inlineStr">
        <is>
          <t>ਤੇੜ੍ਹਾ ਕਲਾਂ</t>
        </is>
      </c>
      <c r="D167" s="14" t="inlineStr">
        <is>
          <t>SAD</t>
        </is>
      </c>
      <c r="E167" s="12" t="n">
        <v>197</v>
      </c>
      <c r="F167" s="14" t="inlineStr">
        <is>
          <t>AAP</t>
        </is>
      </c>
      <c r="G167" s="12" t="n">
        <v>39</v>
      </c>
      <c r="H167" s="37" t="inlineStr">
        <is>
          <t>SAD → AAP</t>
        </is>
      </c>
      <c r="I167" s="12" t="n">
        <v>108</v>
      </c>
      <c r="J167" s="12" t="n">
        <v>162</v>
      </c>
      <c r="K167" s="12" t="n">
        <v>359</v>
      </c>
      <c r="L167" s="12" t="n">
        <v>1</v>
      </c>
      <c r="M167" s="12" t="n">
        <v>661</v>
      </c>
      <c r="N167" s="12" t="n">
        <v>74</v>
      </c>
      <c r="O167" s="12" t="n">
        <v>252</v>
      </c>
      <c r="P167" s="12" t="n">
        <v>213</v>
      </c>
      <c r="Q167" s="12" t="n">
        <v>35</v>
      </c>
      <c r="R167" s="12" t="n">
        <v>617</v>
      </c>
      <c r="S167" s="12" t="n">
        <v>-44</v>
      </c>
      <c r="T167" s="15" t="n">
        <v>-0.06660000000000001</v>
      </c>
      <c r="U167" s="12" t="n">
        <v>-34</v>
      </c>
      <c r="V167" s="12" t="n">
        <v>90</v>
      </c>
      <c r="W167" s="12" t="n">
        <v>-146</v>
      </c>
      <c r="X167" s="12" t="n">
        <v>34</v>
      </c>
    </row>
    <row r="168" ht="20" customHeight="1">
      <c r="A168" s="47" t="n">
        <v>167</v>
      </c>
      <c r="B168" s="3" t="inlineStr">
        <is>
          <t>Khatrai Khurd</t>
        </is>
      </c>
      <c r="C168" s="3" t="inlineStr">
        <is>
          <t>ਖਤਰਾਏ ਖੁਰਦ</t>
        </is>
      </c>
      <c r="D168" s="7" t="inlineStr">
        <is>
          <t>AAP</t>
        </is>
      </c>
      <c r="E168" s="5" t="n">
        <v>22</v>
      </c>
      <c r="F168" s="7" t="inlineStr">
        <is>
          <t>SAD</t>
        </is>
      </c>
      <c r="G168" s="5" t="n">
        <v>78</v>
      </c>
      <c r="H168" s="37" t="inlineStr">
        <is>
          <t>AAP → SAD</t>
        </is>
      </c>
      <c r="I168" s="5" t="n">
        <v>73</v>
      </c>
      <c r="J168" s="5" t="n">
        <v>171</v>
      </c>
      <c r="K168" s="5" t="n">
        <v>149</v>
      </c>
      <c r="L168" s="5" t="n">
        <v>2</v>
      </c>
      <c r="M168" s="5" t="n">
        <v>430</v>
      </c>
      <c r="N168" s="5" t="n">
        <v>50</v>
      </c>
      <c r="O168" s="5" t="n">
        <v>78</v>
      </c>
      <c r="P168" s="5" t="n">
        <v>156</v>
      </c>
      <c r="Q168" s="5" t="n">
        <v>71</v>
      </c>
      <c r="R168" s="5" t="n">
        <v>387</v>
      </c>
      <c r="S168" s="5" t="n">
        <v>-43</v>
      </c>
      <c r="T168" s="8" t="n">
        <v>-0.1</v>
      </c>
      <c r="U168" s="5" t="n">
        <v>-23</v>
      </c>
      <c r="V168" s="5" t="n">
        <v>-93</v>
      </c>
      <c r="W168" s="5" t="n">
        <v>7</v>
      </c>
      <c r="X168" s="5" t="n">
        <v>69</v>
      </c>
    </row>
    <row r="169" ht="20" customHeight="1">
      <c r="A169" s="44" t="n">
        <v>168</v>
      </c>
      <c r="B169" s="10" t="inlineStr">
        <is>
          <t>Lashkari Nangal</t>
        </is>
      </c>
      <c r="C169" s="10" t="inlineStr">
        <is>
          <t>ਲਸ਼ਕਰੀ ਨੰਗਲ</t>
        </is>
      </c>
      <c r="D169" s="14" t="inlineStr">
        <is>
          <t>SAD</t>
        </is>
      </c>
      <c r="E169" s="12" t="n">
        <v>52</v>
      </c>
      <c r="F169" s="14" t="inlineStr">
        <is>
          <t>SAD</t>
        </is>
      </c>
      <c r="G169" s="12" t="n">
        <v>142</v>
      </c>
      <c r="H169" s="32" t="inlineStr">
        <is>
          <t>Retained SAD</t>
        </is>
      </c>
      <c r="I169" s="12" t="n">
        <v>189</v>
      </c>
      <c r="J169" s="12" t="n">
        <v>277</v>
      </c>
      <c r="K169" s="12" t="n">
        <v>329</v>
      </c>
      <c r="L169" s="12" t="n">
        <v>2</v>
      </c>
      <c r="M169" s="12" t="n">
        <v>867</v>
      </c>
      <c r="N169" s="12" t="n">
        <v>172</v>
      </c>
      <c r="O169" s="12" t="n">
        <v>192</v>
      </c>
      <c r="P169" s="12" t="n">
        <v>334</v>
      </c>
      <c r="Q169" s="12" t="n">
        <v>38</v>
      </c>
      <c r="R169" s="12" t="n">
        <v>781</v>
      </c>
      <c r="S169" s="12" t="n">
        <v>-86</v>
      </c>
      <c r="T169" s="15" t="n">
        <v>-0.0992</v>
      </c>
      <c r="U169" s="12" t="n">
        <v>-17</v>
      </c>
      <c r="V169" s="12" t="n">
        <v>-85</v>
      </c>
      <c r="W169" s="12" t="n">
        <v>5</v>
      </c>
      <c r="X169" s="12" t="n">
        <v>36</v>
      </c>
    </row>
    <row r="170" ht="20" customHeight="1">
      <c r="A170" s="47" t="n">
        <v>169</v>
      </c>
      <c r="B170" s="3" t="inlineStr">
        <is>
          <t>Kandowali</t>
        </is>
      </c>
      <c r="C170" s="3" t="inlineStr">
        <is>
          <t>ਕੰਦੋਵਾਲੀ</t>
        </is>
      </c>
      <c r="D170" s="7" t="inlineStr">
        <is>
          <t>AAP</t>
        </is>
      </c>
      <c r="E170" s="5" t="n">
        <v>1</v>
      </c>
      <c r="F170" s="7" t="inlineStr">
        <is>
          <t>AAP</t>
        </is>
      </c>
      <c r="G170" s="5" t="n">
        <v>101</v>
      </c>
      <c r="H170" s="32" t="inlineStr">
        <is>
          <t>Retained AAP</t>
        </is>
      </c>
      <c r="I170" s="5" t="n">
        <v>399</v>
      </c>
      <c r="J170" s="5" t="n">
        <v>400</v>
      </c>
      <c r="K170" s="5" t="n">
        <v>86</v>
      </c>
      <c r="L170" s="5" t="n">
        <v>0</v>
      </c>
      <c r="M170" s="5" t="n">
        <v>919</v>
      </c>
      <c r="N170" s="5" t="n">
        <v>137</v>
      </c>
      <c r="O170" s="5" t="n">
        <v>398</v>
      </c>
      <c r="P170" s="5" t="n">
        <v>297</v>
      </c>
      <c r="Q170" s="5" t="n">
        <v>5</v>
      </c>
      <c r="R170" s="5" t="n">
        <v>893</v>
      </c>
      <c r="S170" s="5" t="n">
        <v>-26</v>
      </c>
      <c r="T170" s="8" t="n">
        <v>-0.0283</v>
      </c>
      <c r="U170" s="5" t="n">
        <v>-262</v>
      </c>
      <c r="V170" s="5" t="n">
        <v>-2</v>
      </c>
      <c r="W170" s="5" t="n">
        <v>211</v>
      </c>
      <c r="X170" s="5" t="n">
        <v>5</v>
      </c>
    </row>
    <row r="171" ht="20" customHeight="1">
      <c r="A171" s="44" t="n">
        <v>170</v>
      </c>
      <c r="B171" s="10" t="inlineStr">
        <is>
          <t>Machi Nangal</t>
        </is>
      </c>
      <c r="C171" s="10" t="inlineStr">
        <is>
          <t>ਮਾਛੀ ਨੰਗਲ</t>
        </is>
      </c>
      <c r="D171" s="14" t="inlineStr">
        <is>
          <t>AAP</t>
        </is>
      </c>
      <c r="E171" s="12" t="n">
        <v>3</v>
      </c>
      <c r="F171" s="14" t="inlineStr">
        <is>
          <t>SAD</t>
        </is>
      </c>
      <c r="G171" s="12" t="n">
        <v>47</v>
      </c>
      <c r="H171" s="37" t="inlineStr">
        <is>
          <t>AAP → SAD</t>
        </is>
      </c>
      <c r="I171" s="12" t="n">
        <v>131</v>
      </c>
      <c r="J171" s="12" t="n">
        <v>202</v>
      </c>
      <c r="K171" s="12" t="n">
        <v>199</v>
      </c>
      <c r="L171" s="12" t="n">
        <v>2</v>
      </c>
      <c r="M171" s="12" t="n">
        <v>569</v>
      </c>
      <c r="N171" s="12" t="n">
        <v>103</v>
      </c>
      <c r="O171" s="12" t="n">
        <v>142</v>
      </c>
      <c r="P171" s="12" t="n">
        <v>189</v>
      </c>
      <c r="Q171" s="12" t="n">
        <v>49</v>
      </c>
      <c r="R171" s="12" t="n">
        <v>530</v>
      </c>
      <c r="S171" s="12" t="n">
        <v>-39</v>
      </c>
      <c r="T171" s="15" t="n">
        <v>-0.06849999999999999</v>
      </c>
      <c r="U171" s="12" t="n">
        <v>-28</v>
      </c>
      <c r="V171" s="12" t="n">
        <v>-60</v>
      </c>
      <c r="W171" s="12" t="n">
        <v>-10</v>
      </c>
      <c r="X171" s="12" t="n">
        <v>47</v>
      </c>
    </row>
    <row r="172" ht="20" customHeight="1">
      <c r="A172" s="47" t="n">
        <v>171</v>
      </c>
      <c r="B172" s="3" t="inlineStr">
        <is>
          <t>Majjupura</t>
        </is>
      </c>
      <c r="C172" s="3" t="inlineStr">
        <is>
          <t>ਮੱਜੂਪੁਰਾ</t>
        </is>
      </c>
      <c r="D172" s="7" t="inlineStr">
        <is>
          <t>INC</t>
        </is>
      </c>
      <c r="E172" s="5" t="n">
        <v>93</v>
      </c>
      <c r="F172" s="7" t="inlineStr">
        <is>
          <t>AAP</t>
        </is>
      </c>
      <c r="G172" s="5" t="n">
        <v>60</v>
      </c>
      <c r="H172" s="37" t="inlineStr">
        <is>
          <t>INC → AAP</t>
        </is>
      </c>
      <c r="I172" s="5" t="n">
        <v>283</v>
      </c>
      <c r="J172" s="5" t="n">
        <v>190</v>
      </c>
      <c r="K172" s="5" t="n">
        <v>175</v>
      </c>
      <c r="L172" s="5" t="n">
        <v>2</v>
      </c>
      <c r="M172" s="5" t="n">
        <v>680</v>
      </c>
      <c r="N172" s="5" t="n">
        <v>191</v>
      </c>
      <c r="O172" s="5" t="n">
        <v>251</v>
      </c>
      <c r="P172" s="5" t="n">
        <v>113</v>
      </c>
      <c r="Q172" s="5" t="n">
        <v>24</v>
      </c>
      <c r="R172" s="5" t="n">
        <v>608</v>
      </c>
      <c r="S172" s="5" t="n">
        <v>-72</v>
      </c>
      <c r="T172" s="8" t="n">
        <v>-0.1059</v>
      </c>
      <c r="U172" s="5" t="n">
        <v>-92</v>
      </c>
      <c r="V172" s="5" t="n">
        <v>61</v>
      </c>
      <c r="W172" s="5" t="n">
        <v>-62</v>
      </c>
      <c r="X172" s="5" t="n">
        <v>22</v>
      </c>
    </row>
    <row r="173" ht="20" customHeight="1">
      <c r="A173" s="44" t="n">
        <v>172</v>
      </c>
      <c r="B173" s="10" t="inlineStr">
        <is>
          <t>Chetan Pura</t>
        </is>
      </c>
      <c r="C173" s="10" t="inlineStr">
        <is>
          <t>ਚੇਤਨ ਪੁਰਾ</t>
        </is>
      </c>
      <c r="D173" s="14" t="inlineStr">
        <is>
          <t>AAP</t>
        </is>
      </c>
      <c r="E173" s="12" t="n">
        <v>172</v>
      </c>
      <c r="F173" s="14" t="inlineStr">
        <is>
          <t>INC</t>
        </is>
      </c>
      <c r="G173" s="12" t="n">
        <v>1</v>
      </c>
      <c r="H173" s="37" t="inlineStr">
        <is>
          <t>AAP → INC</t>
        </is>
      </c>
      <c r="I173" s="12" t="n">
        <v>52</v>
      </c>
      <c r="J173" s="12" t="n">
        <v>251</v>
      </c>
      <c r="K173" s="12" t="n">
        <v>79</v>
      </c>
      <c r="L173" s="12" t="n">
        <v>1</v>
      </c>
      <c r="M173" s="12" t="n">
        <v>469</v>
      </c>
      <c r="N173" s="12" t="n">
        <v>146</v>
      </c>
      <c r="O173" s="12" t="n">
        <v>145</v>
      </c>
      <c r="P173" s="12" t="n">
        <v>54</v>
      </c>
      <c r="Q173" s="12" t="n">
        <v>38</v>
      </c>
      <c r="R173" s="12" t="n">
        <v>416</v>
      </c>
      <c r="S173" s="12" t="n">
        <v>-53</v>
      </c>
      <c r="T173" s="15" t="n">
        <v>-0.113</v>
      </c>
      <c r="U173" s="12" t="n">
        <v>94</v>
      </c>
      <c r="V173" s="12" t="n">
        <v>-106</v>
      </c>
      <c r="W173" s="12" t="n">
        <v>-25</v>
      </c>
      <c r="X173" s="12" t="n">
        <v>37</v>
      </c>
    </row>
    <row r="174" ht="20" customHeight="1">
      <c r="A174" s="47" t="n">
        <v>173</v>
      </c>
      <c r="B174" s="3" t="inlineStr">
        <is>
          <t>Chetan Pura</t>
        </is>
      </c>
      <c r="C174" s="3" t="inlineStr">
        <is>
          <t>ਚੇਤਨ ਪੁਰਾ</t>
        </is>
      </c>
      <c r="D174" s="7" t="inlineStr">
        <is>
          <t>AAP</t>
        </is>
      </c>
      <c r="E174" s="5" t="n">
        <v>37</v>
      </c>
      <c r="F174" s="7" t="inlineStr">
        <is>
          <t>AAP</t>
        </is>
      </c>
      <c r="G174" s="5" t="n">
        <v>17</v>
      </c>
      <c r="H174" s="32" t="inlineStr">
        <is>
          <t>Retained AAP</t>
        </is>
      </c>
      <c r="I174" s="5" t="n">
        <v>187</v>
      </c>
      <c r="J174" s="5" t="n">
        <v>224</v>
      </c>
      <c r="K174" s="5" t="n">
        <v>62</v>
      </c>
      <c r="L174" s="5" t="n">
        <v>0</v>
      </c>
      <c r="M174" s="5" t="n">
        <v>511</v>
      </c>
      <c r="N174" s="5" t="n">
        <v>161</v>
      </c>
      <c r="O174" s="5" t="n">
        <v>178</v>
      </c>
      <c r="P174" s="5" t="n">
        <v>62</v>
      </c>
      <c r="Q174" s="5" t="n">
        <v>28</v>
      </c>
      <c r="R174" s="5" t="n">
        <v>454</v>
      </c>
      <c r="S174" s="5" t="n">
        <v>-57</v>
      </c>
      <c r="T174" s="8" t="n">
        <v>-0.1115</v>
      </c>
      <c r="U174" s="5" t="n">
        <v>-26</v>
      </c>
      <c r="V174" s="5" t="n">
        <v>-46</v>
      </c>
      <c r="W174" s="5" t="n">
        <v>0</v>
      </c>
      <c r="X174" s="5" t="n">
        <v>28</v>
      </c>
    </row>
    <row r="175" ht="20" customHeight="1">
      <c r="A175" s="44" t="n">
        <v>174</v>
      </c>
      <c r="B175" s="10" t="inlineStr">
        <is>
          <t>Santu Nangal</t>
        </is>
      </c>
      <c r="C175" s="10" t="inlineStr">
        <is>
          <t>ਸੰਤੂ ਨੰਗਲ</t>
        </is>
      </c>
      <c r="D175" s="14" t="inlineStr">
        <is>
          <t>INC</t>
        </is>
      </c>
      <c r="E175" s="12" t="n">
        <v>52</v>
      </c>
      <c r="F175" s="14" t="inlineStr">
        <is>
          <t>AAP</t>
        </is>
      </c>
      <c r="G175" s="12" t="n">
        <v>35</v>
      </c>
      <c r="H175" s="37" t="inlineStr">
        <is>
          <t>INC → AAP</t>
        </is>
      </c>
      <c r="I175" s="12" t="n">
        <v>242</v>
      </c>
      <c r="J175" s="12" t="n">
        <v>190</v>
      </c>
      <c r="K175" s="12" t="n">
        <v>170</v>
      </c>
      <c r="L175" s="12" t="n">
        <v>0</v>
      </c>
      <c r="M175" s="12" t="n">
        <v>630</v>
      </c>
      <c r="N175" s="12" t="n">
        <v>67</v>
      </c>
      <c r="O175" s="12" t="n">
        <v>236</v>
      </c>
      <c r="P175" s="12" t="n">
        <v>201</v>
      </c>
      <c r="Q175" s="12" t="n">
        <v>20</v>
      </c>
      <c r="R175" s="12" t="n">
        <v>556</v>
      </c>
      <c r="S175" s="12" t="n">
        <v>-74</v>
      </c>
      <c r="T175" s="15" t="n">
        <v>-0.1175</v>
      </c>
      <c r="U175" s="12" t="n">
        <v>-175</v>
      </c>
      <c r="V175" s="12" t="n">
        <v>46</v>
      </c>
      <c r="W175" s="12" t="n">
        <v>31</v>
      </c>
      <c r="X175" s="12" t="n">
        <v>20</v>
      </c>
    </row>
    <row r="176" ht="20" customHeight="1">
      <c r="A176" s="47" t="n">
        <v>175</v>
      </c>
      <c r="B176" s="3" t="inlineStr">
        <is>
          <t>Pathan Nangal</t>
        </is>
      </c>
      <c r="C176" s="3" t="inlineStr">
        <is>
          <t>ਪਠਾਨ ਨੰਗਲ</t>
        </is>
      </c>
      <c r="D176" s="7" t="inlineStr">
        <is>
          <t>AAP</t>
        </is>
      </c>
      <c r="E176" s="5" t="n">
        <v>46</v>
      </c>
      <c r="F176" s="7" t="inlineStr">
        <is>
          <t>AAP</t>
        </is>
      </c>
      <c r="G176" s="5" t="n">
        <v>52</v>
      </c>
      <c r="H176" s="32" t="inlineStr">
        <is>
          <t>Retained AAP</t>
        </is>
      </c>
      <c r="I176" s="5" t="n">
        <v>91</v>
      </c>
      <c r="J176" s="5" t="n">
        <v>153</v>
      </c>
      <c r="K176" s="5" t="n">
        <v>107</v>
      </c>
      <c r="L176" s="5" t="n">
        <v>0</v>
      </c>
      <c r="M176" s="5" t="n">
        <v>359</v>
      </c>
      <c r="N176" s="5" t="n">
        <v>68</v>
      </c>
      <c r="O176" s="5" t="n">
        <v>140</v>
      </c>
      <c r="P176" s="5" t="n">
        <v>88</v>
      </c>
      <c r="Q176" s="5" t="n">
        <v>1</v>
      </c>
      <c r="R176" s="5" t="n">
        <v>314</v>
      </c>
      <c r="S176" s="5" t="n">
        <v>-45</v>
      </c>
      <c r="T176" s="8" t="n">
        <v>-0.1253</v>
      </c>
      <c r="U176" s="5" t="n">
        <v>-23</v>
      </c>
      <c r="V176" s="5" t="n">
        <v>-13</v>
      </c>
      <c r="W176" s="5" t="n">
        <v>-19</v>
      </c>
      <c r="X176" s="5" t="n">
        <v>1</v>
      </c>
    </row>
    <row r="177" ht="20" customHeight="1">
      <c r="A177" s="44" t="n">
        <v>176</v>
      </c>
      <c r="B177" s="10" t="inlineStr">
        <is>
          <t>Kotli Sakia Wali</t>
        </is>
      </c>
      <c r="C177" s="10" t="inlineStr">
        <is>
          <t>ਕੋਟਲੀ ਸਾਕੇ ਵਾਲੀ</t>
        </is>
      </c>
      <c r="D177" s="14" t="inlineStr">
        <is>
          <t>INC</t>
        </is>
      </c>
      <c r="E177" s="12" t="n">
        <v>0</v>
      </c>
      <c r="F177" s="14" t="inlineStr">
        <is>
          <t>INC</t>
        </is>
      </c>
      <c r="G177" s="12" t="n">
        <v>21</v>
      </c>
      <c r="H177" s="32" t="inlineStr">
        <is>
          <t>Retained INC</t>
        </is>
      </c>
      <c r="I177" s="12" t="n">
        <v>140</v>
      </c>
      <c r="J177" s="12" t="n">
        <v>140</v>
      </c>
      <c r="K177" s="12" t="n">
        <v>76</v>
      </c>
      <c r="L177" s="12" t="n">
        <v>0</v>
      </c>
      <c r="M177" s="12" t="n">
        <v>380</v>
      </c>
      <c r="N177" s="12" t="n">
        <v>149</v>
      </c>
      <c r="O177" s="12" t="n">
        <v>128</v>
      </c>
      <c r="P177" s="12" t="n">
        <v>27</v>
      </c>
      <c r="Q177" s="12" t="n">
        <v>28</v>
      </c>
      <c r="R177" s="12" t="n">
        <v>348</v>
      </c>
      <c r="S177" s="12" t="n">
        <v>-32</v>
      </c>
      <c r="T177" s="15" t="n">
        <v>-0.0842</v>
      </c>
      <c r="U177" s="12" t="n">
        <v>9</v>
      </c>
      <c r="V177" s="12" t="n">
        <v>-12</v>
      </c>
      <c r="W177" s="12" t="n">
        <v>-49</v>
      </c>
      <c r="X177" s="12" t="n">
        <v>28</v>
      </c>
    </row>
    <row r="178" ht="20" customHeight="1">
      <c r="A178" s="47" t="n">
        <v>177</v>
      </c>
      <c r="B178" s="3" t="inlineStr">
        <is>
          <t>Ghukewali</t>
        </is>
      </c>
      <c r="C178" s="3" t="inlineStr">
        <is>
          <t>ਘੁੱਕੇਵਾਲੀ</t>
        </is>
      </c>
      <c r="D178" s="7" t="inlineStr">
        <is>
          <t>AAP</t>
        </is>
      </c>
      <c r="E178" s="5" t="n">
        <v>77</v>
      </c>
      <c r="F178" s="7" t="inlineStr">
        <is>
          <t>SAD</t>
        </is>
      </c>
      <c r="G178" s="5" t="n">
        <v>84</v>
      </c>
      <c r="H178" s="37" t="inlineStr">
        <is>
          <t>AAP → SAD</t>
        </is>
      </c>
      <c r="I178" s="5" t="n">
        <v>240</v>
      </c>
      <c r="J178" s="5" t="n">
        <v>357</v>
      </c>
      <c r="K178" s="5" t="n">
        <v>280</v>
      </c>
      <c r="L178" s="5" t="n">
        <v>5</v>
      </c>
      <c r="M178" s="5" t="n">
        <v>923</v>
      </c>
      <c r="N178" s="5" t="n">
        <v>166</v>
      </c>
      <c r="O178" s="5" t="n">
        <v>201</v>
      </c>
      <c r="P178" s="5" t="n">
        <v>285</v>
      </c>
      <c r="Q178" s="5" t="n">
        <v>114</v>
      </c>
      <c r="R178" s="5" t="n">
        <v>798</v>
      </c>
      <c r="S178" s="5" t="n">
        <v>-125</v>
      </c>
      <c r="T178" s="8" t="n">
        <v>-0.1354</v>
      </c>
      <c r="U178" s="5" t="n">
        <v>-74</v>
      </c>
      <c r="V178" s="5" t="n">
        <v>-156</v>
      </c>
      <c r="W178" s="5" t="n">
        <v>5</v>
      </c>
      <c r="X178" s="5" t="n">
        <v>109</v>
      </c>
    </row>
    <row r="179" ht="20" customHeight="1">
      <c r="A179" s="44" t="n">
        <v>178</v>
      </c>
      <c r="B179" s="10" t="inlineStr">
        <is>
          <t>Saisara</t>
        </is>
      </c>
      <c r="C179" s="10" t="inlineStr">
        <is>
          <t>ਸੈਂਸਰਾ</t>
        </is>
      </c>
      <c r="D179" s="14" t="inlineStr">
        <is>
          <t>AAP</t>
        </is>
      </c>
      <c r="E179" s="12" t="n">
        <v>23</v>
      </c>
      <c r="F179" s="14" t="inlineStr">
        <is>
          <t>AAP</t>
        </is>
      </c>
      <c r="G179" s="12" t="n">
        <v>23</v>
      </c>
      <c r="H179" s="32" t="inlineStr">
        <is>
          <t>Retained AAP</t>
        </is>
      </c>
      <c r="I179" s="12" t="n">
        <v>142</v>
      </c>
      <c r="J179" s="12" t="n">
        <v>219</v>
      </c>
      <c r="K179" s="12" t="n">
        <v>196</v>
      </c>
      <c r="L179" s="12" t="n">
        <v>1</v>
      </c>
      <c r="M179" s="12" t="n">
        <v>589</v>
      </c>
      <c r="N179" s="12" t="n">
        <v>104</v>
      </c>
      <c r="O179" s="12" t="n">
        <v>148</v>
      </c>
      <c r="P179" s="12" t="n">
        <v>120</v>
      </c>
      <c r="Q179" s="12" t="n">
        <v>125</v>
      </c>
      <c r="R179" s="12" t="n">
        <v>567</v>
      </c>
      <c r="S179" s="12" t="n">
        <v>-22</v>
      </c>
      <c r="T179" s="15" t="n">
        <v>-0.0374</v>
      </c>
      <c r="U179" s="12" t="n">
        <v>-38</v>
      </c>
      <c r="V179" s="12" t="n">
        <v>-71</v>
      </c>
      <c r="W179" s="12" t="n">
        <v>-76</v>
      </c>
      <c r="X179" s="12" t="n">
        <v>124</v>
      </c>
    </row>
    <row r="180" ht="20" customHeight="1">
      <c r="A180" s="47" t="n">
        <v>179</v>
      </c>
      <c r="B180" s="3" t="inlineStr">
        <is>
          <t>Saisara</t>
        </is>
      </c>
      <c r="C180" s="3" t="inlineStr">
        <is>
          <t>ਸੈਂਸਰਾ</t>
        </is>
      </c>
      <c r="D180" s="7" t="inlineStr">
        <is>
          <t>AAP</t>
        </is>
      </c>
      <c r="E180" s="5" t="n">
        <v>120</v>
      </c>
      <c r="F180" s="7" t="inlineStr">
        <is>
          <t>AAP</t>
        </is>
      </c>
      <c r="G180" s="5" t="n">
        <v>71</v>
      </c>
      <c r="H180" s="32" t="inlineStr">
        <is>
          <t>Retained AAP</t>
        </is>
      </c>
      <c r="I180" s="5" t="n">
        <v>239</v>
      </c>
      <c r="J180" s="5" t="n">
        <v>359</v>
      </c>
      <c r="K180" s="5" t="n">
        <v>153</v>
      </c>
      <c r="L180" s="5" t="n">
        <v>7</v>
      </c>
      <c r="M180" s="5" t="n">
        <v>789</v>
      </c>
      <c r="N180" s="5" t="n">
        <v>179</v>
      </c>
      <c r="O180" s="5" t="n">
        <v>250</v>
      </c>
      <c r="P180" s="5" t="n">
        <v>162</v>
      </c>
      <c r="Q180" s="5" t="n">
        <v>50</v>
      </c>
      <c r="R180" s="5" t="n">
        <v>695</v>
      </c>
      <c r="S180" s="5" t="n">
        <v>-94</v>
      </c>
      <c r="T180" s="8" t="n">
        <v>-0.1191</v>
      </c>
      <c r="U180" s="5" t="n">
        <v>-60</v>
      </c>
      <c r="V180" s="5" t="n">
        <v>-109</v>
      </c>
      <c r="W180" s="5" t="n">
        <v>9</v>
      </c>
      <c r="X180" s="5" t="n">
        <v>43</v>
      </c>
    </row>
    <row r="181" ht="20" customHeight="1">
      <c r="A181" s="44" t="n">
        <v>180</v>
      </c>
      <c r="B181" s="10" t="inlineStr">
        <is>
          <t>Saisara</t>
        </is>
      </c>
      <c r="C181" s="10" t="inlineStr">
        <is>
          <t>ਸੈਂਸਰਾ</t>
        </is>
      </c>
      <c r="D181" s="14" t="inlineStr">
        <is>
          <t>AAP</t>
        </is>
      </c>
      <c r="E181" s="12" t="n">
        <v>148</v>
      </c>
      <c r="F181" s="14" t="inlineStr">
        <is>
          <t>AAP</t>
        </is>
      </c>
      <c r="G181" s="12" t="n">
        <v>168</v>
      </c>
      <c r="H181" s="32" t="inlineStr">
        <is>
          <t>Retained AAP</t>
        </is>
      </c>
      <c r="I181" s="12" t="n">
        <v>217</v>
      </c>
      <c r="J181" s="12" t="n">
        <v>365</v>
      </c>
      <c r="K181" s="12" t="n">
        <v>212</v>
      </c>
      <c r="L181" s="12" t="n">
        <v>2</v>
      </c>
      <c r="M181" s="12" t="n">
        <v>834</v>
      </c>
      <c r="N181" s="12" t="n">
        <v>192</v>
      </c>
      <c r="O181" s="12" t="n">
        <v>360</v>
      </c>
      <c r="P181" s="12" t="n">
        <v>118</v>
      </c>
      <c r="Q181" s="12" t="n">
        <v>139</v>
      </c>
      <c r="R181" s="12" t="n">
        <v>838</v>
      </c>
      <c r="S181" s="12" t="n">
        <v>4</v>
      </c>
      <c r="T181" s="15" t="n">
        <v>0.48</v>
      </c>
      <c r="U181" s="12" t="n">
        <v>-25</v>
      </c>
      <c r="V181" s="12" t="n">
        <v>-5</v>
      </c>
      <c r="W181" s="12" t="n">
        <v>-94</v>
      </c>
      <c r="X181" s="12" t="n">
        <v>137</v>
      </c>
    </row>
    <row r="182" ht="20" customHeight="1">
      <c r="A182" s="47" t="n">
        <v>181</v>
      </c>
      <c r="B182" s="3" t="inlineStr">
        <is>
          <t>Sainsara (Patti Dauki)</t>
        </is>
      </c>
      <c r="C182" s="3" t="inlineStr">
        <is>
          <t>ਸੈਂਸਰਾ (ਪੱਤੀ ਦਾਉਕੀ)</t>
        </is>
      </c>
      <c r="D182" s="7" t="inlineStr">
        <is>
          <t>INC</t>
        </is>
      </c>
      <c r="E182" s="5" t="n">
        <v>75</v>
      </c>
      <c r="F182" s="7" t="inlineStr">
        <is>
          <t>AAP</t>
        </is>
      </c>
      <c r="G182" s="5" t="n">
        <v>78</v>
      </c>
      <c r="H182" s="37" t="inlineStr">
        <is>
          <t>INC → AAP</t>
        </is>
      </c>
      <c r="I182" s="5" t="n">
        <v>258</v>
      </c>
      <c r="J182" s="5" t="n">
        <v>183</v>
      </c>
      <c r="K182" s="5" t="n">
        <v>102</v>
      </c>
      <c r="L182" s="5" t="n">
        <v>2</v>
      </c>
      <c r="M182" s="5" t="n">
        <v>568</v>
      </c>
      <c r="N182" s="5" t="n">
        <v>151</v>
      </c>
      <c r="O182" s="5" t="n">
        <v>229</v>
      </c>
      <c r="P182" s="5" t="n">
        <v>85</v>
      </c>
      <c r="Q182" s="5" t="n">
        <v>46</v>
      </c>
      <c r="R182" s="5" t="n">
        <v>545</v>
      </c>
      <c r="S182" s="5" t="n">
        <v>-23</v>
      </c>
      <c r="T182" s="8" t="n">
        <v>-0.0405</v>
      </c>
      <c r="U182" s="5" t="n">
        <v>-107</v>
      </c>
      <c r="V182" s="5" t="n">
        <v>46</v>
      </c>
      <c r="W182" s="5" t="n">
        <v>-17</v>
      </c>
      <c r="X182" s="5" t="n">
        <v>44</v>
      </c>
    </row>
    <row r="183" ht="20" customHeight="1">
      <c r="A183" s="44" t="n">
        <v>182</v>
      </c>
      <c r="B183" s="10" t="inlineStr">
        <is>
          <t>Mahila Wala</t>
        </is>
      </c>
      <c r="C183" s="10" t="inlineStr">
        <is>
          <t>ਮਹਿਲਾ ਵਾਲਾ</t>
        </is>
      </c>
      <c r="D183" s="14" t="inlineStr">
        <is>
          <t>AAP</t>
        </is>
      </c>
      <c r="E183" s="12" t="n">
        <v>61</v>
      </c>
      <c r="F183" s="14" t="inlineStr">
        <is>
          <t>AAP</t>
        </is>
      </c>
      <c r="G183" s="12" t="n">
        <v>30</v>
      </c>
      <c r="H183" s="32" t="inlineStr">
        <is>
          <t>Retained AAP</t>
        </is>
      </c>
      <c r="I183" s="12" t="n">
        <v>163</v>
      </c>
      <c r="J183" s="12" t="n">
        <v>313</v>
      </c>
      <c r="K183" s="12" t="n">
        <v>252</v>
      </c>
      <c r="L183" s="12" t="n">
        <v>1</v>
      </c>
      <c r="M183" s="12" t="n">
        <v>751</v>
      </c>
      <c r="N183" s="12" t="n">
        <v>119</v>
      </c>
      <c r="O183" s="12" t="n">
        <v>204</v>
      </c>
      <c r="P183" s="12" t="n">
        <v>115</v>
      </c>
      <c r="Q183" s="12" t="n">
        <v>174</v>
      </c>
      <c r="R183" s="12" t="n">
        <v>646</v>
      </c>
      <c r="S183" s="12" t="n">
        <v>-105</v>
      </c>
      <c r="T183" s="15" t="n">
        <v>-0.1398</v>
      </c>
      <c r="U183" s="12" t="n">
        <v>-44</v>
      </c>
      <c r="V183" s="12" t="n">
        <v>-109</v>
      </c>
      <c r="W183" s="12" t="n">
        <v>-137</v>
      </c>
      <c r="X183" s="12" t="n">
        <v>173</v>
      </c>
    </row>
    <row r="184" ht="20" customHeight="1">
      <c r="A184" s="47" t="n">
        <v>183</v>
      </c>
      <c r="B184" s="3" t="inlineStr">
        <is>
          <t>Mahila Wala</t>
        </is>
      </c>
      <c r="C184" s="3" t="inlineStr">
        <is>
          <t>ਮਹਿਲਾ ਵਾਲਾ</t>
        </is>
      </c>
      <c r="D184" s="7" t="inlineStr">
        <is>
          <t>SAD</t>
        </is>
      </c>
      <c r="E184" s="5" t="n">
        <v>22</v>
      </c>
      <c r="F184" s="7" t="inlineStr">
        <is>
          <t>BJP</t>
        </is>
      </c>
      <c r="G184" s="5" t="n">
        <v>74</v>
      </c>
      <c r="H184" s="37" t="inlineStr">
        <is>
          <t>SAD → BJP</t>
        </is>
      </c>
      <c r="I184" s="5" t="n">
        <v>142</v>
      </c>
      <c r="J184" s="5" t="n">
        <v>232</v>
      </c>
      <c r="K184" s="5" t="n">
        <v>254</v>
      </c>
      <c r="L184" s="5" t="n">
        <v>0</v>
      </c>
      <c r="M184" s="5" t="n">
        <v>649</v>
      </c>
      <c r="N184" s="5" t="n">
        <v>104</v>
      </c>
      <c r="O184" s="5" t="n">
        <v>118</v>
      </c>
      <c r="P184" s="5" t="n">
        <v>136</v>
      </c>
      <c r="Q184" s="5" t="n">
        <v>210</v>
      </c>
      <c r="R184" s="5" t="n">
        <v>594</v>
      </c>
      <c r="S184" s="5" t="n">
        <v>-55</v>
      </c>
      <c r="T184" s="8" t="n">
        <v>-0.08470000000000001</v>
      </c>
      <c r="U184" s="5" t="n">
        <v>-38</v>
      </c>
      <c r="V184" s="5" t="n">
        <v>-114</v>
      </c>
      <c r="W184" s="5" t="n">
        <v>-118</v>
      </c>
      <c r="X184" s="5" t="n">
        <v>210</v>
      </c>
    </row>
    <row r="185" ht="20" customHeight="1">
      <c r="A185" s="44" t="n">
        <v>184</v>
      </c>
      <c r="B185" s="10" t="inlineStr">
        <is>
          <t>Bhalapind</t>
        </is>
      </c>
      <c r="C185" s="10" t="inlineStr">
        <is>
          <t>ਭਾਲਾਪਿੰਡ</t>
        </is>
      </c>
      <c r="D185" s="14" t="inlineStr">
        <is>
          <t>AAP</t>
        </is>
      </c>
      <c r="E185" s="12" t="n">
        <v>197</v>
      </c>
      <c r="F185" s="14" t="inlineStr">
        <is>
          <t>INC</t>
        </is>
      </c>
      <c r="G185" s="12" t="n">
        <v>63</v>
      </c>
      <c r="H185" s="37" t="inlineStr">
        <is>
          <t>AAP → INC</t>
        </is>
      </c>
      <c r="I185" s="12" t="n">
        <v>166</v>
      </c>
      <c r="J185" s="12" t="n">
        <v>391</v>
      </c>
      <c r="K185" s="12" t="n">
        <v>194</v>
      </c>
      <c r="L185" s="12" t="n">
        <v>2</v>
      </c>
      <c r="M185" s="12" t="n">
        <v>795</v>
      </c>
      <c r="N185" s="12" t="n">
        <v>218</v>
      </c>
      <c r="O185" s="12" t="n">
        <v>155</v>
      </c>
      <c r="P185" s="12" t="n">
        <v>92</v>
      </c>
      <c r="Q185" s="12" t="n">
        <v>51</v>
      </c>
      <c r="R185" s="12" t="n">
        <v>662</v>
      </c>
      <c r="S185" s="12" t="n">
        <v>-133</v>
      </c>
      <c r="T185" s="15" t="n">
        <v>-0.1673</v>
      </c>
      <c r="U185" s="12" t="n">
        <v>52</v>
      </c>
      <c r="V185" s="12" t="n">
        <v>-236</v>
      </c>
      <c r="W185" s="12" t="n">
        <v>-102</v>
      </c>
      <c r="X185" s="12" t="n">
        <v>49</v>
      </c>
    </row>
    <row r="186" ht="20" customHeight="1">
      <c r="A186" s="47" t="n">
        <v>185</v>
      </c>
      <c r="B186" s="3" t="inlineStr">
        <is>
          <t>Bhalapind</t>
        </is>
      </c>
      <c r="C186" s="3" t="inlineStr">
        <is>
          <t>ਭਾਲਾਪਿੰਡ</t>
        </is>
      </c>
      <c r="D186" s="7" t="inlineStr">
        <is>
          <t>AAP</t>
        </is>
      </c>
      <c r="E186" s="5" t="n">
        <v>18</v>
      </c>
      <c r="F186" s="7" t="inlineStr">
        <is>
          <t>INC</t>
        </is>
      </c>
      <c r="G186" s="5" t="n">
        <v>30</v>
      </c>
      <c r="H186" s="37" t="inlineStr">
        <is>
          <t>AAP → INC</t>
        </is>
      </c>
      <c r="I186" s="5" t="n">
        <v>242</v>
      </c>
      <c r="J186" s="5" t="n">
        <v>280</v>
      </c>
      <c r="K186" s="5" t="n">
        <v>262</v>
      </c>
      <c r="L186" s="5" t="n">
        <v>2</v>
      </c>
      <c r="M186" s="5" t="n">
        <v>865</v>
      </c>
      <c r="N186" s="5" t="n">
        <v>191</v>
      </c>
      <c r="O186" s="5" t="n">
        <v>161</v>
      </c>
      <c r="P186" s="5" t="n">
        <v>78</v>
      </c>
      <c r="Q186" s="5" t="n">
        <v>152</v>
      </c>
      <c r="R186" s="5" t="n">
        <v>690</v>
      </c>
      <c r="S186" s="5" t="n">
        <v>-175</v>
      </c>
      <c r="T186" s="8" t="n">
        <v>-0.2023</v>
      </c>
      <c r="U186" s="5" t="n">
        <v>-51</v>
      </c>
      <c r="V186" s="5" t="n">
        <v>-119</v>
      </c>
      <c r="W186" s="5" t="n">
        <v>-184</v>
      </c>
      <c r="X186" s="5" t="n">
        <v>150</v>
      </c>
    </row>
    <row r="187" ht="20" customHeight="1">
      <c r="A187" s="44" t="n">
        <v>186</v>
      </c>
      <c r="B187" s="10" t="inlineStr">
        <is>
          <t>Dalam</t>
        </is>
      </c>
      <c r="C187" s="10" t="inlineStr">
        <is>
          <t>ਡੱਲਾ / ਦਾਲਮ</t>
        </is>
      </c>
      <c r="D187" s="14" t="inlineStr">
        <is>
          <t>SAD</t>
        </is>
      </c>
      <c r="E187" s="12" t="n">
        <v>168</v>
      </c>
      <c r="F187" s="14" t="inlineStr">
        <is>
          <t>INC</t>
        </is>
      </c>
      <c r="G187" s="12" t="n">
        <v>86</v>
      </c>
      <c r="H187" s="37" t="inlineStr">
        <is>
          <t>SAD → INC</t>
        </is>
      </c>
      <c r="I187" s="12" t="n">
        <v>210</v>
      </c>
      <c r="J187" s="12" t="n">
        <v>195</v>
      </c>
      <c r="K187" s="12" t="n">
        <v>378</v>
      </c>
      <c r="L187" s="12" t="n">
        <v>3</v>
      </c>
      <c r="M187" s="12" t="n">
        <v>827</v>
      </c>
      <c r="N187" s="12" t="n">
        <v>223</v>
      </c>
      <c r="O187" s="12" t="n">
        <v>137</v>
      </c>
      <c r="P187" s="12" t="n">
        <v>100</v>
      </c>
      <c r="Q187" s="12" t="n">
        <v>93</v>
      </c>
      <c r="R187" s="12" t="n">
        <v>629</v>
      </c>
      <c r="S187" s="12" t="n">
        <v>-198</v>
      </c>
      <c r="T187" s="15" t="n">
        <v>-0.2394</v>
      </c>
      <c r="U187" s="12" t="n">
        <v>13</v>
      </c>
      <c r="V187" s="12" t="n">
        <v>-58</v>
      </c>
      <c r="W187" s="12" t="n">
        <v>-278</v>
      </c>
      <c r="X187" s="12" t="n">
        <v>90</v>
      </c>
    </row>
    <row r="188" ht="20" customHeight="1">
      <c r="A188" s="47" t="n">
        <v>187</v>
      </c>
      <c r="B188" s="3" t="inlineStr">
        <is>
          <t>Dadhrai</t>
        </is>
      </c>
      <c r="C188" s="3" t="inlineStr">
        <is>
          <t>ਡਡਰਾਏ</t>
        </is>
      </c>
      <c r="D188" s="7" t="inlineStr">
        <is>
          <t>AAP</t>
        </is>
      </c>
      <c r="E188" s="5" t="n">
        <v>113</v>
      </c>
      <c r="F188" s="7" t="inlineStr">
        <is>
          <t>INC</t>
        </is>
      </c>
      <c r="G188" s="5" t="n">
        <v>33</v>
      </c>
      <c r="H188" s="37" t="inlineStr">
        <is>
          <t>AAP → INC</t>
        </is>
      </c>
      <c r="I188" s="5" t="n">
        <v>98</v>
      </c>
      <c r="J188" s="5" t="n">
        <v>388</v>
      </c>
      <c r="K188" s="5" t="n">
        <v>275</v>
      </c>
      <c r="L188" s="5" t="n">
        <v>3</v>
      </c>
      <c r="M188" s="5" t="n">
        <v>818</v>
      </c>
      <c r="N188" s="5" t="n">
        <v>203</v>
      </c>
      <c r="O188" s="5" t="n">
        <v>125</v>
      </c>
      <c r="P188" s="5" t="n">
        <v>170</v>
      </c>
      <c r="Q188" s="5" t="n">
        <v>93</v>
      </c>
      <c r="R188" s="5" t="n">
        <v>658</v>
      </c>
      <c r="S188" s="5" t="n">
        <v>-160</v>
      </c>
      <c r="T188" s="8" t="n">
        <v>-0.1956</v>
      </c>
      <c r="U188" s="5" t="n">
        <v>105</v>
      </c>
      <c r="V188" s="5" t="n">
        <v>-263</v>
      </c>
      <c r="W188" s="5" t="n">
        <v>-105</v>
      </c>
      <c r="X188" s="5" t="n">
        <v>90</v>
      </c>
    </row>
    <row r="189" ht="20" customHeight="1">
      <c r="A189" s="44" t="n">
        <v>188</v>
      </c>
      <c r="B189" s="10" t="inlineStr">
        <is>
          <t>Salempura</t>
        </is>
      </c>
      <c r="C189" s="10" t="inlineStr">
        <is>
          <t>ਸਲੇਮਪੁਰਾ</t>
        </is>
      </c>
      <c r="D189" s="14" t="inlineStr">
        <is>
          <t>INC</t>
        </is>
      </c>
      <c r="E189" s="12" t="n">
        <v>32</v>
      </c>
      <c r="F189" s="14" t="inlineStr">
        <is>
          <t>INC</t>
        </is>
      </c>
      <c r="G189" s="12" t="n">
        <v>26</v>
      </c>
      <c r="H189" s="32" t="inlineStr">
        <is>
          <t>Retained INC</t>
        </is>
      </c>
      <c r="I189" s="12" t="n">
        <v>165</v>
      </c>
      <c r="J189" s="12" t="n">
        <v>133</v>
      </c>
      <c r="K189" s="12" t="n">
        <v>84</v>
      </c>
      <c r="L189" s="12" t="n">
        <v>1</v>
      </c>
      <c r="M189" s="12" t="n">
        <v>394</v>
      </c>
      <c r="N189" s="12" t="n">
        <v>134</v>
      </c>
      <c r="O189" s="12" t="n">
        <v>67</v>
      </c>
      <c r="P189" s="12" t="n">
        <v>108</v>
      </c>
      <c r="Q189" s="12" t="n">
        <v>33</v>
      </c>
      <c r="R189" s="12" t="n">
        <v>366</v>
      </c>
      <c r="S189" s="12" t="n">
        <v>-28</v>
      </c>
      <c r="T189" s="15" t="n">
        <v>-0.0711</v>
      </c>
      <c r="U189" s="12" t="n">
        <v>-31</v>
      </c>
      <c r="V189" s="12" t="n">
        <v>-66</v>
      </c>
      <c r="W189" s="12" t="n">
        <v>24</v>
      </c>
      <c r="X189" s="12" t="n">
        <v>32</v>
      </c>
    </row>
  </sheetData>
  <pageMargins left="0.6" right="0.6" top="0.75" bottom="0.7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72" customWidth="1" min="2" max="2"/>
    <col width="20" customWidth="1" min="3" max="3"/>
    <col width="24" customWidth="1" min="4" max="4"/>
    <col width="17" customWidth="1" min="5" max="5"/>
    <col width="22" customWidth="1" min="6" max="6"/>
    <col width="17" customWidth="1" min="7" max="7"/>
    <col width="24" customWidth="1" min="8" max="8"/>
  </cols>
  <sheetData>
    <row r="1"/>
    <row r="2">
      <c r="B2" s="28" t="inlineStr">
        <is>
          <t>11-AJNALA ASSEMBLY SEGMENT (AMRITSAR PC)</t>
        </is>
      </c>
    </row>
    <row r="3">
      <c r="B3" s="29" t="inlineStr">
        <is>
          <t>Comparative Polling Intelligence: 2022 Vidhan Sabha vs 2024 Lok Sabha</t>
        </is>
      </c>
    </row>
    <row r="4"/>
    <row r="5">
      <c r="B5" s="42" t="inlineStr">
        <is>
          <t>CONSTITUENCY VOTE SUMMARY &amp; TURNOUT SHIFT</t>
        </is>
      </c>
    </row>
    <row r="6" ht="26" customHeight="1">
      <c r="B6" s="46" t="inlineStr">
        <is>
          <t>Party / Metric</t>
        </is>
      </c>
      <c r="C6" s="46" t="inlineStr">
        <is>
          <t>2022 Vidhan Sabha</t>
        </is>
      </c>
      <c r="D6" s="46" t="inlineStr">
        <is>
          <t>2022 Share %</t>
        </is>
      </c>
      <c r="E6" s="46" t="inlineStr">
        <is>
          <t>2024 Lok Sabha</t>
        </is>
      </c>
      <c r="F6" s="46" t="inlineStr">
        <is>
          <t>2024 Share %</t>
        </is>
      </c>
      <c r="G6" s="46" t="inlineStr">
        <is>
          <t>Vote Shift</t>
        </is>
      </c>
      <c r="H6" s="46" t="inlineStr">
        <is>
          <t>Swing %</t>
        </is>
      </c>
    </row>
    <row r="7" ht="20" customHeight="1">
      <c r="B7" s="10" t="inlineStr">
        <is>
          <t>AAP (Aam Aadmi Party)</t>
        </is>
      </c>
      <c r="C7" s="12" t="n">
        <v>43257</v>
      </c>
      <c r="D7" s="13" t="n">
        <v>0.3561038255414783</v>
      </c>
      <c r="E7" s="12" t="n">
        <v>35344</v>
      </c>
      <c r="F7" s="13" t="n">
        <v>0.3275747015644695</v>
      </c>
      <c r="G7" s="12" t="n">
        <v>-7913</v>
      </c>
      <c r="H7" s="15" t="n">
        <v>-0.02852912397700885</v>
      </c>
    </row>
    <row r="8" ht="20" customHeight="1">
      <c r="B8" s="10" t="inlineStr">
        <is>
          <t>INC (Congress)</t>
        </is>
      </c>
      <c r="C8" s="12" t="n">
        <v>33795</v>
      </c>
      <c r="D8" s="13" t="n">
        <v>0.2782099725865007</v>
      </c>
      <c r="E8" s="12" t="n">
        <v>30309</v>
      </c>
      <c r="F8" s="13" t="n">
        <v>0.2809093942314821</v>
      </c>
      <c r="G8" s="12" t="n">
        <v>-3486</v>
      </c>
      <c r="H8" s="15" t="n">
        <v>0.002699421644981437</v>
      </c>
    </row>
    <row r="9" ht="20" customHeight="1">
      <c r="B9" s="10" t="inlineStr">
        <is>
          <t>SAD (Shiromani Akali Dal)</t>
        </is>
      </c>
      <c r="C9" s="12" t="n">
        <v>35549</v>
      </c>
      <c r="D9" s="13" t="n">
        <v>0.2926493953388819</v>
      </c>
      <c r="E9" s="12" t="n">
        <v>17946</v>
      </c>
      <c r="F9" s="13" t="n">
        <v>0.1663268332468303</v>
      </c>
      <c r="G9" s="12" t="n">
        <v>-17603</v>
      </c>
      <c r="H9" s="15" t="n">
        <v>-0.1263225620920516</v>
      </c>
    </row>
    <row r="10" ht="20" customHeight="1">
      <c r="B10" s="10" t="inlineStr">
        <is>
          <t>BJP (Bharatiya Janata Party)</t>
        </is>
      </c>
      <c r="C10" s="12" t="n">
        <v>435</v>
      </c>
      <c r="D10" s="13" t="n">
        <v>0.003581042700847102</v>
      </c>
      <c r="E10" s="12" t="n">
        <v>14404</v>
      </c>
      <c r="F10" s="13" t="n">
        <v>0.1334989248906354</v>
      </c>
      <c r="G10" s="12" t="n">
        <v>13969</v>
      </c>
      <c r="H10" s="15" t="n">
        <v>0.1299178821897883</v>
      </c>
    </row>
    <row r="11" ht="20" customHeight="1">
      <c r="B11" s="10" t="inlineStr">
        <is>
          <t>Others &amp; NOTA</t>
        </is>
      </c>
      <c r="C11" s="12" t="n">
        <v>8437</v>
      </c>
      <c r="D11" s="13" t="n">
        <v>0.06945576383229195</v>
      </c>
      <c r="E11" s="12" t="n">
        <v>9893</v>
      </c>
      <c r="F11" s="13" t="n">
        <v>0.09169014606658263</v>
      </c>
      <c r="G11" s="12" t="n">
        <v>1456</v>
      </c>
      <c r="H11" s="15" t="n">
        <v>0.02223438223429068</v>
      </c>
    </row>
    <row r="12" ht="20" customHeight="1">
      <c r="B12" s="48" t="inlineStr">
        <is>
          <t>TOTAL VALID VOTES</t>
        </is>
      </c>
      <c r="C12" s="49" t="n">
        <v>121473</v>
      </c>
      <c r="D12" s="50" t="n">
        <v>1</v>
      </c>
      <c r="E12" s="49" t="n">
        <v>107896</v>
      </c>
      <c r="F12" s="50" t="n">
        <v>1</v>
      </c>
      <c r="G12" s="49" t="n">
        <v>-13577</v>
      </c>
      <c r="H12" s="51" t="n">
        <v>-0.1117696936767841</v>
      </c>
    </row>
    <row r="13"/>
    <row r="14"/>
    <row r="15"/>
    <row r="16">
      <c r="B16" s="42" t="inlineStr">
        <is>
          <t>2022 TO 2024 BOOTH RETENTION &amp; TRANSITION MATRIX</t>
        </is>
      </c>
    </row>
    <row r="17" ht="26" customHeight="1">
      <c r="B17" s="46" t="inlineStr">
        <is>
          <t>2022 Winner Party</t>
        </is>
      </c>
      <c r="C17" s="46" t="inlineStr">
        <is>
          <t>Retained Lead</t>
        </is>
      </c>
      <c r="D17" s="46" t="inlineStr">
        <is>
          <t>Flipped to AAP</t>
        </is>
      </c>
      <c r="E17" s="46" t="inlineStr">
        <is>
          <t>Flipped to INC</t>
        </is>
      </c>
      <c r="F17" s="46" t="inlineStr">
        <is>
          <t>Flipped to SAD</t>
        </is>
      </c>
      <c r="G17" s="46" t="inlineStr">
        <is>
          <t>Flipped to BJP</t>
        </is>
      </c>
      <c r="H17" s="46" t="inlineStr">
        <is>
          <t>Total 2022 Wins</t>
        </is>
      </c>
    </row>
    <row r="18" ht="20" customHeight="1">
      <c r="B18" s="10" t="inlineStr">
        <is>
          <t>AAP (107 Booths in '22)</t>
        </is>
      </c>
      <c r="C18" s="44" t="n">
        <v>62</v>
      </c>
      <c r="D18" s="44" t="inlineStr">
        <is>
          <t>-</t>
        </is>
      </c>
      <c r="E18" s="44" t="n">
        <v>27</v>
      </c>
      <c r="F18" s="44" t="n">
        <v>9</v>
      </c>
      <c r="G18" s="44" t="n">
        <v>9</v>
      </c>
      <c r="H18" s="44" t="n">
        <v>107</v>
      </c>
    </row>
    <row r="19" ht="20" customHeight="1">
      <c r="B19" s="10" t="inlineStr">
        <is>
          <t>INC (38 Booths in '22)</t>
        </is>
      </c>
      <c r="C19" s="44" t="n">
        <v>22</v>
      </c>
      <c r="D19" s="44" t="n">
        <v>13</v>
      </c>
      <c r="E19" s="44" t="inlineStr">
        <is>
          <t>-</t>
        </is>
      </c>
      <c r="F19" s="44" t="n">
        <v>1</v>
      </c>
      <c r="G19" s="44" t="n">
        <v>2</v>
      </c>
      <c r="H19" s="44" t="n">
        <v>38</v>
      </c>
    </row>
    <row r="20" ht="20" customHeight="1">
      <c r="B20" s="10" t="inlineStr">
        <is>
          <t>SAD (43 Booths in '22)</t>
        </is>
      </c>
      <c r="C20" s="44" t="n">
        <v>2</v>
      </c>
      <c r="D20" s="44" t="n">
        <v>17</v>
      </c>
      <c r="E20" s="44" t="n">
        <v>16</v>
      </c>
      <c r="F20" s="44" t="inlineStr">
        <is>
          <t>-</t>
        </is>
      </c>
      <c r="G20" s="44" t="n">
        <v>8</v>
      </c>
      <c r="H20" s="44" t="n">
        <v>43</v>
      </c>
    </row>
  </sheetData>
  <pageMargins left="0.6" right="0.6" top="0.75" bottom="0.7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2026-10-13T10:12:42Z</dcterms:created>
  <dcterms:modified xmlns:dcterms="http://purl.org/dc/terms/" xmlns:xsi="http://www.w3.org/2001/XMLSchema-instance" xsi:type="dcterms:W3CDTF">2026-10-13T10:12:44Z</dcterms:modified>
</cp:coreProperties>
</file>